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C:\Users\Austin\Desktop\Data Analyst School\DATA3250\"/>
    </mc:Choice>
  </mc:AlternateContent>
  <xr:revisionPtr revIDLastSave="0" documentId="13_ncr:1_{A6934190-05EB-40AB-8F44-455FA9B5EFFE}" xr6:coauthVersionLast="47" xr6:coauthVersionMax="47" xr10:uidLastSave="{00000000-0000-0000-0000-000000000000}"/>
  <bookViews>
    <workbookView xWindow="28680" yWindow="-120" windowWidth="29040" windowHeight="15840" firstSheet="2" activeTab="2" xr2:uid="{14AFA544-0B4F-4C56-AA5D-03C915348B68}"/>
  </bookViews>
  <sheets>
    <sheet name="Student Comments" sheetId="25" state="hidden" r:id="rId1"/>
    <sheet name="Scoresheet" sheetId="46" state="veryHidden" r:id="rId2"/>
    <sheet name="Cover Sheet" sheetId="21" r:id="rId3"/>
    <sheet name="Sheet3" sheetId="32" state="veryHidden" r:id="rId4"/>
    <sheet name="Question1" sheetId="36" state="veryHidden" r:id="rId5"/>
    <sheet name="Answer1" sheetId="37" state="veryHidden" r:id="rId6"/>
    <sheet name="Question2" sheetId="38" state="veryHidden" r:id="rId7"/>
    <sheet name="Answer2" sheetId="39" state="veryHidden" r:id="rId8"/>
    <sheet name="Question3" sheetId="40" state="veryHidden" r:id="rId9"/>
    <sheet name="Answer3" sheetId="41" state="veryHidden" r:id="rId10"/>
    <sheet name="Question4" sheetId="42" state="veryHidden" r:id="rId11"/>
    <sheet name="Answer4" sheetId="43" state="veryHidden" r:id="rId12"/>
    <sheet name="Question5" sheetId="44" state="veryHidden" r:id="rId13"/>
    <sheet name="Answer5" sheetId="45" state="veryHidden" r:id="rId14"/>
    <sheet name="Question6" sheetId="47" state="veryHidden" r:id="rId15"/>
    <sheet name="Answer6" sheetId="48" state="veryHidden" r:id="rId16"/>
    <sheet name="Question7" sheetId="49" state="veryHidden" r:id="rId17"/>
    <sheet name="Answer7" sheetId="50" state="veryHidden" r:id="rId18"/>
    <sheet name="Configuration" sheetId="23" state="veryHidden" r:id="rId19"/>
    <sheet name="LogDetails" sheetId="24" state="veryHidden" r:id="rId20"/>
    <sheet name="Sheet1" sheetId="51" state="veryHidden" r:id="rId21"/>
    <sheet name="Account List" sheetId="3" state="veryHidden" r:id="rId22"/>
  </sheets>
  <functionGroups builtInGroupCount="19"/>
  <definedNames>
    <definedName name="_xlnm.Print_Area" localSheetId="2">'Cover Sheet'!$A$1:$R$63</definedName>
    <definedName name="solver_typ" localSheetId="2" hidden="1">2</definedName>
    <definedName name="solver_ver" localSheetId="2" hidden="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0" i="46" l="1"/>
  <c r="A1" i="41" a="1"/>
  <c r="A2" i="50" a="1"/>
  <c r="A2" i="45" a="1"/>
  <c r="A2" i="37"/>
  <c r="A2" i="43" a="1"/>
  <c r="A2" i="48" a="1"/>
  <c r="A1" i="39" a="1"/>
  <c r="A2" i="45" l="1"/>
  <c r="A1" i="41"/>
  <c r="A2" i="50"/>
  <c r="A2" i="48"/>
  <c r="A2" i="43"/>
  <c r="A1" i="39"/>
  <c r="D9" i="46"/>
  <c r="D8" i="46"/>
  <c r="G92" i="21"/>
  <c r="G94" i="21"/>
  <c r="G76" i="21"/>
  <c r="H92" i="21"/>
  <c r="G127" i="21" l="1"/>
  <c r="D7" i="46" l="1"/>
  <c r="D6" i="46"/>
  <c r="D5" i="46"/>
  <c r="D4" i="46"/>
  <c r="D3" i="46"/>
  <c r="G170" i="21"/>
  <c r="G169" i="21"/>
  <c r="G168" i="21"/>
  <c r="G167" i="21"/>
  <c r="G166" i="21"/>
  <c r="G165" i="21"/>
  <c r="G164" i="21"/>
  <c r="G163" i="21"/>
  <c r="G162" i="21"/>
  <c r="G161" i="21"/>
  <c r="G160" i="21"/>
  <c r="G159" i="21"/>
  <c r="G158" i="21"/>
  <c r="G157" i="21"/>
  <c r="G156" i="21"/>
  <c r="G131" i="21"/>
  <c r="G143" i="21"/>
  <c r="G149" i="21"/>
  <c r="G148" i="21"/>
  <c r="G146" i="21"/>
  <c r="G145" i="21"/>
  <c r="G142" i="21"/>
  <c r="G137" i="21"/>
  <c r="G138" i="21"/>
  <c r="G139" i="21"/>
  <c r="G140" i="21"/>
  <c r="G141" i="21"/>
  <c r="G136" i="21"/>
  <c r="G134" i="21"/>
  <c r="G133" i="21"/>
  <c r="G130" i="21"/>
  <c r="G147" i="21"/>
  <c r="G144" i="21"/>
  <c r="G135" i="21"/>
  <c r="G132" i="21"/>
  <c r="H159" i="21"/>
  <c r="H158" i="21"/>
  <c r="H138" i="21"/>
  <c r="H164" i="21"/>
  <c r="H144" i="21"/>
  <c r="H156" i="21"/>
  <c r="H163" i="21"/>
  <c r="H140" i="21"/>
  <c r="H143" i="21"/>
  <c r="H130" i="21"/>
  <c r="H141" i="21"/>
  <c r="H133" i="21"/>
  <c r="H142" i="21"/>
  <c r="H135" i="21"/>
  <c r="H149" i="21"/>
  <c r="H132" i="21"/>
  <c r="H131" i="21"/>
  <c r="H162" i="21"/>
  <c r="H145" i="21"/>
  <c r="H147" i="21"/>
  <c r="H169" i="21"/>
  <c r="H160" i="21"/>
  <c r="H167" i="21"/>
  <c r="H146" i="21"/>
  <c r="H170" i="21"/>
  <c r="H136" i="21"/>
  <c r="H166" i="21"/>
  <c r="D10" i="46" l="1"/>
  <c r="G125" i="21"/>
  <c r="G123" i="21"/>
  <c r="G114" i="21"/>
  <c r="G113" i="21"/>
  <c r="G112" i="21"/>
  <c r="G110" i="21"/>
  <c r="G109" i="21"/>
  <c r="G107" i="21"/>
  <c r="G106" i="21"/>
  <c r="G105" i="21"/>
  <c r="G103" i="21"/>
  <c r="G101" i="21"/>
  <c r="G100" i="21"/>
  <c r="G99" i="21"/>
  <c r="G97" i="21"/>
  <c r="G95" i="21"/>
  <c r="G93" i="21"/>
  <c r="G90" i="21"/>
  <c r="G89" i="21"/>
  <c r="G88" i="21"/>
  <c r="G87" i="21"/>
  <c r="E101" i="21"/>
  <c r="G124" i="21"/>
  <c r="G115" i="21"/>
  <c r="G120" i="21"/>
  <c r="G116" i="21"/>
  <c r="G83" i="21"/>
  <c r="G81" i="21"/>
  <c r="G79" i="21"/>
  <c r="G78" i="21"/>
  <c r="G77" i="21"/>
  <c r="G75" i="21"/>
  <c r="G74" i="21"/>
  <c r="G73" i="21"/>
  <c r="G72" i="21"/>
  <c r="G70" i="21"/>
  <c r="G68" i="21"/>
  <c r="G69" i="21"/>
  <c r="G67" i="21"/>
  <c r="G59" i="21"/>
  <c r="G63" i="21"/>
  <c r="G57" i="21"/>
  <c r="E55" i="21"/>
  <c r="G50" i="21"/>
  <c r="G45" i="21"/>
  <c r="G43" i="21"/>
  <c r="E52" i="21"/>
  <c r="E49" i="21"/>
  <c r="E42" i="21"/>
  <c r="G39" i="21"/>
  <c r="G54" i="21"/>
  <c r="H125" i="21"/>
  <c r="H137" i="21"/>
  <c r="H114" i="21"/>
  <c r="H87" i="21"/>
  <c r="H50" i="21"/>
  <c r="H168" i="21"/>
  <c r="H148" i="21"/>
  <c r="H83" i="21"/>
  <c r="H157" i="21"/>
  <c r="H161" i="21"/>
  <c r="H106" i="21"/>
  <c r="H165" i="21"/>
  <c r="H139" i="21"/>
  <c r="H100" i="21"/>
  <c r="H39" i="21"/>
  <c r="H134" i="21"/>
  <c r="H43" i="21"/>
  <c r="H45" i="21"/>
  <c r="H124" i="21"/>
  <c r="G126" i="21" l="1"/>
  <c r="G118" i="21"/>
  <c r="H171" i="21"/>
  <c r="H154" i="21"/>
  <c r="H75" i="21"/>
  <c r="H105" i="21"/>
  <c r="H112" i="21"/>
  <c r="H81" i="21"/>
  <c r="H113" i="21"/>
  <c r="H79" i="21"/>
  <c r="H110" i="21"/>
  <c r="H77" i="21"/>
  <c r="H109" i="21"/>
  <c r="H68" i="21"/>
  <c r="H120" i="21"/>
  <c r="H115" i="21"/>
  <c r="H67" i="21"/>
  <c r="H118" i="21"/>
  <c r="H73" i="21"/>
  <c r="H126" i="21"/>
  <c r="H78" i="21"/>
  <c r="H93" i="21"/>
  <c r="H97" i="21"/>
  <c r="H69" i="21"/>
  <c r="H123" i="21"/>
  <c r="H103" i="21"/>
  <c r="H59" i="21"/>
  <c r="H63" i="21"/>
  <c r="H116" i="21"/>
  <c r="H89" i="21"/>
  <c r="H76" i="21"/>
  <c r="H72" i="21"/>
  <c r="H88" i="21"/>
  <c r="H57" i="21"/>
  <c r="H95" i="21"/>
  <c r="H99" i="21"/>
  <c r="H54" i="21"/>
  <c r="H107" i="21"/>
  <c r="H90" i="21"/>
  <c r="H74" i="21"/>
  <c r="H94" i="21"/>
  <c r="H101" i="21"/>
  <c r="H70" i="21"/>
  <c r="H65" i="21" l="1"/>
  <c r="H127" i="21"/>
  <c r="G84" i="21" l="1"/>
  <c r="G82" i="21"/>
  <c r="H82" i="21"/>
  <c r="G128" i="21" l="1"/>
  <c r="H84" i="21"/>
  <c r="H128" i="21"/>
  <c r="H85" i="21" l="1"/>
  <c r="H129" i="21"/>
  <c r="L27" i="2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<sst xmlns="http://schemas.openxmlformats.org/spreadsheetml/2006/main" count="2028" uniqueCount="647">
  <si>
    <t>Cash</t>
  </si>
  <si>
    <t>Prepaid Rent</t>
  </si>
  <si>
    <t>Prepaid Insurance</t>
  </si>
  <si>
    <t>Inventory</t>
  </si>
  <si>
    <t>Equipment</t>
  </si>
  <si>
    <t>Common Shares</t>
  </si>
  <si>
    <t>Retained Earnings</t>
  </si>
  <si>
    <t>Debit</t>
  </si>
  <si>
    <t>Credit</t>
  </si>
  <si>
    <t>Insurance Expense</t>
  </si>
  <si>
    <t>Wages Expense</t>
  </si>
  <si>
    <t>Account List</t>
  </si>
  <si>
    <t xml:space="preserve">Type </t>
  </si>
  <si>
    <t>Increase Decrease</t>
  </si>
  <si>
    <t>Debit Credit</t>
  </si>
  <si>
    <t>Accounts Payable</t>
  </si>
  <si>
    <t>Asset</t>
  </si>
  <si>
    <t>Increase</t>
  </si>
  <si>
    <t>Accounts Receivable</t>
  </si>
  <si>
    <t>Liability</t>
  </si>
  <si>
    <t>Decrease</t>
  </si>
  <si>
    <t>Accumulated Depreciation</t>
  </si>
  <si>
    <t>Revenue</t>
  </si>
  <si>
    <t>Expense</t>
  </si>
  <si>
    <t>Cost of Goods Sold</t>
  </si>
  <si>
    <t>Dividends Declared</t>
  </si>
  <si>
    <t>Depreciation Expense</t>
  </si>
  <si>
    <t>C-Asset</t>
  </si>
  <si>
    <t>Interest Expense</t>
  </si>
  <si>
    <t>Interest Payable</t>
  </si>
  <si>
    <t>Interest Revenue</t>
  </si>
  <si>
    <t>Inventory Expense</t>
  </si>
  <si>
    <t>Loans Payable</t>
  </si>
  <si>
    <t>Notes Payable</t>
  </si>
  <si>
    <t>Rent Expense</t>
  </si>
  <si>
    <t>Supplies</t>
  </si>
  <si>
    <t>Supplies Expense</t>
  </si>
  <si>
    <t>Utilities Expense</t>
  </si>
  <si>
    <t>Wages Payable</t>
  </si>
  <si>
    <t>Dividends Payable</t>
  </si>
  <si>
    <t>Income Summary</t>
  </si>
  <si>
    <t>Income Tax Expense</t>
  </si>
  <si>
    <t>Gross Profit</t>
  </si>
  <si>
    <t>a</t>
  </si>
  <si>
    <t>b</t>
  </si>
  <si>
    <t>c</t>
  </si>
  <si>
    <t>d</t>
  </si>
  <si>
    <t>Van</t>
  </si>
  <si>
    <t xml:space="preserve"> </t>
  </si>
  <si>
    <t>Better/Worse</t>
  </si>
  <si>
    <t>Instructions:</t>
  </si>
  <si>
    <t>Marks Earned</t>
  </si>
  <si>
    <t>Marks Available</t>
  </si>
  <si>
    <t xml:space="preserve">Student Name: </t>
  </si>
  <si>
    <t>Question 3</t>
  </si>
  <si>
    <t>Question 4</t>
  </si>
  <si>
    <t>Question 5</t>
  </si>
  <si>
    <t>Entry into this excel file is being tracked by your unique computer username, any attempt to share files will result in a grade of zero.</t>
  </si>
  <si>
    <t>Access to anything other than than this excel file and moodle is prohibited. Any attempt to copy and paste from other files will be tracked and will result in a grade of zero.</t>
  </si>
  <si>
    <t>Parameter</t>
  </si>
  <si>
    <t>DataType</t>
  </si>
  <si>
    <t>Value</t>
  </si>
  <si>
    <t>Datetime</t>
  </si>
  <si>
    <t>Positive</t>
  </si>
  <si>
    <t>Column1</t>
  </si>
  <si>
    <t>Negative</t>
  </si>
  <si>
    <t>PINUnlock</t>
  </si>
  <si>
    <t>Number</t>
  </si>
  <si>
    <t/>
  </si>
  <si>
    <t xml:space="preserve">April 30, cash balance </t>
  </si>
  <si>
    <t>Dividends paid in May</t>
  </si>
  <si>
    <t>Cash collections in May</t>
  </si>
  <si>
    <t>Merchandise purchases paid in cash in May</t>
  </si>
  <si>
    <t>e</t>
  </si>
  <si>
    <t>U</t>
  </si>
  <si>
    <t>* material required per unit</t>
  </si>
  <si>
    <t>Material needed for production</t>
  </si>
  <si>
    <t>Add: desired ending inventory</t>
  </si>
  <si>
    <t>Total material required</t>
  </si>
  <si>
    <t>Less: beginning inventory</t>
  </si>
  <si>
    <t>Material to purchase</t>
  </si>
  <si>
    <t>Total cost of purchases</t>
  </si>
  <si>
    <t>F</t>
  </si>
  <si>
    <t>toy fire trucks</t>
  </si>
  <si>
    <t>toy police cars</t>
  </si>
  <si>
    <t>Operating expenses - paid in cash</t>
  </si>
  <si>
    <t>Equipment purchase in cash in May</t>
  </si>
  <si>
    <t>No</t>
  </si>
  <si>
    <t>Yes</t>
  </si>
  <si>
    <t>N/A</t>
  </si>
  <si>
    <t>Depreciation expense in May</t>
  </si>
  <si>
    <t>Instructor:</t>
  </si>
  <si>
    <t xml:space="preserve"> All answers are to be recorded in excel in the blue cells.</t>
  </si>
  <si>
    <r>
      <t>·</t>
    </r>
    <r>
      <rPr>
        <sz val="7"/>
        <rFont val="Times New Roman"/>
        <family val="1"/>
      </rPr>
      <t>      </t>
    </r>
  </si>
  <si>
    <t>Less: desired ending inventory</t>
  </si>
  <si>
    <t>add: beginning inventory</t>
  </si>
  <si>
    <t>DM Efficiency Variance</t>
  </si>
  <si>
    <t>DM Rate Variance</t>
  </si>
  <si>
    <t xml:space="preserve">both </t>
  </si>
  <si>
    <t>neither</t>
  </si>
  <si>
    <t>WIP Inventory Control</t>
  </si>
  <si>
    <t>DM Inventory Control</t>
  </si>
  <si>
    <t>/ material required per unit</t>
  </si>
  <si>
    <t>InactivityTimeout</t>
  </si>
  <si>
    <t>Effective Date</t>
  </si>
  <si>
    <t>Termination Date</t>
  </si>
  <si>
    <t>Edit Mode</t>
  </si>
  <si>
    <t>Boolean</t>
  </si>
  <si>
    <t>Gift Card Liability</t>
  </si>
  <si>
    <t>Sales Revenue</t>
  </si>
  <si>
    <t>Preferred Shares</t>
  </si>
  <si>
    <t>Worsened</t>
  </si>
  <si>
    <t>Improved</t>
  </si>
  <si>
    <t>Question</t>
  </si>
  <si>
    <t>Answer Type</t>
  </si>
  <si>
    <t>Expected Answer</t>
  </si>
  <si>
    <t>Mark Allocation</t>
  </si>
  <si>
    <t>Student Answer</t>
  </si>
  <si>
    <t>Grade</t>
  </si>
  <si>
    <t>depreciation expense</t>
  </si>
  <si>
    <t>building</t>
  </si>
  <si>
    <t>office furniture</t>
  </si>
  <si>
    <t>truck</t>
  </si>
  <si>
    <t>production machinery</t>
  </si>
  <si>
    <t>acc. Dep</t>
  </si>
  <si>
    <t>office furn</t>
  </si>
  <si>
    <t>machine</t>
  </si>
  <si>
    <t>GC Liab</t>
  </si>
  <si>
    <t>text</t>
  </si>
  <si>
    <t>number</t>
  </si>
  <si>
    <t>TOTAL MARKS EARNED</t>
  </si>
  <si>
    <t>Sh Equity</t>
  </si>
  <si>
    <t xml:space="preserve">text </t>
  </si>
  <si>
    <t>Part 2</t>
  </si>
  <si>
    <t>net income</t>
  </si>
  <si>
    <t>shares issued</t>
  </si>
  <si>
    <t>dividends declared</t>
  </si>
  <si>
    <t>ending balance</t>
  </si>
  <si>
    <t>Ratios</t>
  </si>
  <si>
    <t>current ratio</t>
  </si>
  <si>
    <t>analysis</t>
  </si>
  <si>
    <t>quick ratio</t>
  </si>
  <si>
    <t>A/R Turn</t>
  </si>
  <si>
    <t>Average Collection</t>
  </si>
  <si>
    <t>Inventory Turn</t>
  </si>
  <si>
    <t>Days to sell</t>
  </si>
  <si>
    <t>A/P Turn</t>
  </si>
  <si>
    <t>Pmt period</t>
  </si>
  <si>
    <t>GP %</t>
  </si>
  <si>
    <t>Profit Margin</t>
  </si>
  <si>
    <t>Return on assets</t>
  </si>
  <si>
    <t>Return on equity</t>
  </si>
  <si>
    <t>Liquidity</t>
  </si>
  <si>
    <t>Activity</t>
  </si>
  <si>
    <t>Profitability</t>
  </si>
  <si>
    <t>MC</t>
  </si>
  <si>
    <t>DATA 3250</t>
  </si>
  <si>
    <t xml:space="preserve"> Mark Zubis</t>
  </si>
  <si>
    <t xml:space="preserve">SQL Syntax - Columns must be select in the same sequence(order) as they are listed in the questions.  </t>
  </si>
  <si>
    <t>Question 3:   (10 marks)</t>
  </si>
  <si>
    <t>Question 2:  (10 marks)</t>
  </si>
  <si>
    <t>Question 1:  (10 marks)</t>
  </si>
  <si>
    <t>Question 4:  (10 Marks)</t>
  </si>
  <si>
    <t>Copy and paste your answer from the SQL window starting in Cell A5</t>
  </si>
  <si>
    <t xml:space="preserve">SQL Syntax -  include the column headers with your answers.  </t>
  </si>
  <si>
    <t>Copy and paste your answer from the SQL window starting in Cell A5.  Include the headers (column names) in your list</t>
  </si>
  <si>
    <t>AssessmentType</t>
  </si>
  <si>
    <t>Totals</t>
  </si>
  <si>
    <t xml:space="preserve">Copy and paste your answer from the SQL window starting in Cell A5.   </t>
  </si>
  <si>
    <t>Table</t>
  </si>
  <si>
    <t>Include your SQL syntax in cell N3.</t>
  </si>
  <si>
    <t>Tables</t>
  </si>
  <si>
    <t>Tables:</t>
  </si>
  <si>
    <t>startdate</t>
  </si>
  <si>
    <t>[Production].[Location]</t>
  </si>
  <si>
    <t>NULL</t>
  </si>
  <si>
    <t>Question 5:  (10 Marks)</t>
  </si>
  <si>
    <t>Question 6:  (10 Marks)</t>
  </si>
  <si>
    <t>A</t>
  </si>
  <si>
    <t>Question 7:  (10 Marks)</t>
  </si>
  <si>
    <t>Michael</t>
  </si>
  <si>
    <t>Format date fields to a date in Excel.
  They at times do not copy and paste properly.</t>
  </si>
  <si>
    <t>Term Exam 1</t>
  </si>
  <si>
    <t xml:space="preserve">This spreadsheet inlcudes the auto grade assist algorithms developed by Mark Zubis.   This file will time out at the exam session.  
Students should move there work to another file if they choose to save it beyond this academic term.  </t>
  </si>
  <si>
    <t>Database:  School Scheduling</t>
  </si>
  <si>
    <t>SubjectCode</t>
  </si>
  <si>
    <t>SubjectEstClassSize</t>
  </si>
  <si>
    <t>ENG 101</t>
  </si>
  <si>
    <t>ENG 102</t>
  </si>
  <si>
    <t>ENG 104</t>
  </si>
  <si>
    <t>Copy and paste your answer from the SQL window starting in Cell A5, include the headers (columns names) with your response.   
This is done by right clicking on the query results and choosing "Copy with Headers", as per the screen shot.  Paste your code into cell N3</t>
  </si>
  <si>
    <t>StudentID</t>
  </si>
  <si>
    <t>studentname</t>
  </si>
  <si>
    <t>major</t>
  </si>
  <si>
    <t>grade</t>
  </si>
  <si>
    <t>ClassStatusDescription</t>
  </si>
  <si>
    <t>Janice Galvin</t>
  </si>
  <si>
    <t>Information Sciences</t>
  </si>
  <si>
    <t>Completed</t>
  </si>
  <si>
    <t>John Kennedy</t>
  </si>
  <si>
    <t>Steve Pundt</t>
  </si>
  <si>
    <t xml:space="preserve">Students
Majors
Student_schedules
</t>
  </si>
  <si>
    <t>optional:  
Student_Class_status</t>
  </si>
  <si>
    <t>Students
Student_schedules
classes
subjects</t>
  </si>
  <si>
    <t>studgender</t>
  </si>
  <si>
    <t>studentage</t>
  </si>
  <si>
    <t>Janice Galvin</t>
  </si>
  <si>
    <t>CIS 114</t>
  </si>
  <si>
    <t>John Kennedy</t>
  </si>
  <si>
    <t>M</t>
  </si>
  <si>
    <t>Steve Pundt</t>
  </si>
  <si>
    <t>title</t>
  </si>
  <si>
    <t>StfFirstName</t>
  </si>
  <si>
    <t>StfLastname</t>
  </si>
  <si>
    <t>status</t>
  </si>
  <si>
    <t>tenured</t>
  </si>
  <si>
    <t>Instructor</t>
  </si>
  <si>
    <t>Suzanne</t>
  </si>
  <si>
    <t>Viescas</t>
  </si>
  <si>
    <t>Full Time</t>
  </si>
  <si>
    <t>Ann</t>
  </si>
  <si>
    <t>Patterson</t>
  </si>
  <si>
    <t>Robert</t>
  </si>
  <si>
    <t>Brown</t>
  </si>
  <si>
    <t>Deb</t>
  </si>
  <si>
    <t>Waldal</t>
  </si>
  <si>
    <t>Mariya</t>
  </si>
  <si>
    <t>Sergienko</t>
  </si>
  <si>
    <t>Jim</t>
  </si>
  <si>
    <t>Glynn</t>
  </si>
  <si>
    <t>Liz</t>
  </si>
  <si>
    <t>Keyser</t>
  </si>
  <si>
    <t>Caleb</t>
  </si>
  <si>
    <t>Maria</t>
  </si>
  <si>
    <t>Kirk</t>
  </si>
  <si>
    <t>DeGrasse</t>
  </si>
  <si>
    <t>Staff
Faculty</t>
  </si>
  <si>
    <t>position</t>
  </si>
  <si>
    <t>stfcity</t>
  </si>
  <si>
    <t>Alastair</t>
  </si>
  <si>
    <t>Black</t>
  </si>
  <si>
    <t>Faculty</t>
  </si>
  <si>
    <t>Seattle</t>
  </si>
  <si>
    <t>Joyce</t>
  </si>
  <si>
    <t>Bonnicksen</t>
  </si>
  <si>
    <t>Bellevue</t>
  </si>
  <si>
    <t>Peter</t>
  </si>
  <si>
    <t>Brehm</t>
  </si>
  <si>
    <t>Kirkland</t>
  </si>
  <si>
    <t>Caroline</t>
  </si>
  <si>
    <t>Coie</t>
  </si>
  <si>
    <t>Redmond</t>
  </si>
  <si>
    <t>Gary</t>
  </si>
  <si>
    <t>Hallmark</t>
  </si>
  <si>
    <t>Auburn</t>
  </si>
  <si>
    <t>Alaina</t>
  </si>
  <si>
    <t>Woodinville</t>
  </si>
  <si>
    <t>Hernandez</t>
  </si>
  <si>
    <t>Tacoma</t>
  </si>
  <si>
    <t>Secretary</t>
  </si>
  <si>
    <t>Graduate Advisor</t>
  </si>
  <si>
    <t>Registrar</t>
  </si>
  <si>
    <t>Carol</t>
  </si>
  <si>
    <t>City</t>
  </si>
  <si>
    <t>state</t>
  </si>
  <si>
    <t>StakeholderType</t>
  </si>
  <si>
    <t>David Smith</t>
  </si>
  <si>
    <t>Fremont</t>
  </si>
  <si>
    <t>CA</t>
  </si>
  <si>
    <t>Jeffrey Smith</t>
  </si>
  <si>
    <t>Brannon Jones</t>
  </si>
  <si>
    <t>Long Beach</t>
  </si>
  <si>
    <t>Student</t>
  </si>
  <si>
    <t>Caleb Viescas</t>
  </si>
  <si>
    <t>Betsy Stadick</t>
  </si>
  <si>
    <t>Palm Springs</t>
  </si>
  <si>
    <t>Sam Abolrous</t>
  </si>
  <si>
    <t>Karen Smith</t>
  </si>
  <si>
    <t>Eugene</t>
  </si>
  <si>
    <t>OR</t>
  </si>
  <si>
    <t>Scott Bishop</t>
  </si>
  <si>
    <t>Medford</t>
  </si>
  <si>
    <t>Portland</t>
  </si>
  <si>
    <t>Luke Patterson</t>
  </si>
  <si>
    <t>Mariya Sergienko</t>
  </si>
  <si>
    <t>Sara Sheskey</t>
  </si>
  <si>
    <t>Jim Wilson</t>
  </si>
  <si>
    <t>Salem</t>
  </si>
  <si>
    <t>Dallas</t>
  </si>
  <si>
    <t>TX</t>
  </si>
  <si>
    <t>Maria Patterson</t>
  </si>
  <si>
    <t>El Paso</t>
  </si>
  <si>
    <t>Robert Brown</t>
  </si>
  <si>
    <t>Houston</t>
  </si>
  <si>
    <t>Sarah Thompson</t>
  </si>
  <si>
    <t>Lubbock</t>
  </si>
  <si>
    <t>Kerry Patterson</t>
  </si>
  <si>
    <t>San Antonio</t>
  </si>
  <si>
    <t>Kirk DeGrasse</t>
  </si>
  <si>
    <t>Ann Patterson</t>
  </si>
  <si>
    <t>WA</t>
  </si>
  <si>
    <t>Elizabeth Hallmark</t>
  </si>
  <si>
    <t>Gary Hallmark</t>
  </si>
  <si>
    <t>Jim Glynn</t>
  </si>
  <si>
    <t>Joyce Bonnicksen</t>
  </si>
  <si>
    <t>Liz Keyser</t>
  </si>
  <si>
    <t>George Chavez</t>
  </si>
  <si>
    <t>Bremerton</t>
  </si>
  <si>
    <t>Carol Viescas</t>
  </si>
  <si>
    <t>Peter Brehm</t>
  </si>
  <si>
    <t>Katherine Ehrlich</t>
  </si>
  <si>
    <t>Michael Viescas</t>
  </si>
  <si>
    <t>Suzanne Viescas</t>
  </si>
  <si>
    <t>Alastair Black</t>
  </si>
  <si>
    <t>Caroline Coie</t>
  </si>
  <si>
    <t>Doris Hartwig</t>
  </si>
  <si>
    <t>Kathryn Patterson</t>
  </si>
  <si>
    <t>Kendra Bonnicksen</t>
  </si>
  <si>
    <t>Richard Lum</t>
  </si>
  <si>
    <t>Tim Smith</t>
  </si>
  <si>
    <t>David Hamilton</t>
  </si>
  <si>
    <t>Deb Waldal</t>
  </si>
  <si>
    <t>Joe Rosales III</t>
  </si>
  <si>
    <t>Marianne Wier</t>
  </si>
  <si>
    <t>Michael Hernandez</t>
  </si>
  <si>
    <t>Alaina Hallmark</t>
  </si>
  <si>
    <t>Students
Staff</t>
  </si>
  <si>
    <t>union</t>
  </si>
  <si>
    <t>Format date fields to a date field in Excel.
They at times do not copy and paste properly.</t>
  </si>
  <si>
    <t>InstructorName</t>
  </si>
  <si>
    <t>subjectname</t>
  </si>
  <si>
    <t>ART 101</t>
  </si>
  <si>
    <t>Design</t>
  </si>
  <si>
    <t>ART 251</t>
  </si>
  <si>
    <t>Art History</t>
  </si>
  <si>
    <t>MUS 101</t>
  </si>
  <si>
    <t>First Year Theory and Ear Training</t>
  </si>
  <si>
    <t>MUS 204</t>
  </si>
  <si>
    <t>History of Jazz</t>
  </si>
  <si>
    <t>ACC 230</t>
  </si>
  <si>
    <t>Fundamentals of Managerial Accounting</t>
  </si>
  <si>
    <t>Composition - Fundamentals</t>
  </si>
  <si>
    <t>ECO 100</t>
  </si>
  <si>
    <t>Survey of Economics</t>
  </si>
  <si>
    <t>POL 101</t>
  </si>
  <si>
    <t>Introduction to Political Science</t>
  </si>
  <si>
    <t>ART 100</t>
  </si>
  <si>
    <t>Introduction to Art</t>
  </si>
  <si>
    <t>HIS 112</t>
  </si>
  <si>
    <t>U.S. History Since 1865</t>
  </si>
  <si>
    <t>ACC 210</t>
  </si>
  <si>
    <t>Financial Accounting Fundamentals I</t>
  </si>
  <si>
    <t>CSC 110</t>
  </si>
  <si>
    <t>Programming in BASIC</t>
  </si>
  <si>
    <t>ECO 201</t>
  </si>
  <si>
    <t>Principles of Economics: Macroeconomics</t>
  </si>
  <si>
    <t>MAT 080</t>
  </si>
  <si>
    <t>Preparatory Mathematics</t>
  </si>
  <si>
    <t>BIO 280</t>
  </si>
  <si>
    <t>Microbiology</t>
  </si>
  <si>
    <t>CHE 101</t>
  </si>
  <si>
    <t>Chemistry</t>
  </si>
  <si>
    <t>BIO 100</t>
  </si>
  <si>
    <t>Biological Principles</t>
  </si>
  <si>
    <t>PHY 201</t>
  </si>
  <si>
    <t>Engineering Physics I</t>
  </si>
  <si>
    <t>CHE 231</t>
  </si>
  <si>
    <t>Organic Chemistry</t>
  </si>
  <si>
    <t>PHY 100</t>
  </si>
  <si>
    <t>Survey Of Physics</t>
  </si>
  <si>
    <t>ART 210</t>
  </si>
  <si>
    <t>Computer Art</t>
  </si>
  <si>
    <t>Advanced English Grammar</t>
  </si>
  <si>
    <t>MUS 100</t>
  </si>
  <si>
    <t>Music in the Western World</t>
  </si>
  <si>
    <t>MUS 201</t>
  </si>
  <si>
    <t>Second Year Music Theory</t>
  </si>
  <si>
    <t>ACC 220</t>
  </si>
  <si>
    <t>Financial Accounting Fundamentals II</t>
  </si>
  <si>
    <t>CIS 102</t>
  </si>
  <si>
    <t>Information Systems Concepts</t>
  </si>
  <si>
    <t>ART 111</t>
  </si>
  <si>
    <t>Drawing</t>
  </si>
  <si>
    <t>ART 201</t>
  </si>
  <si>
    <t>Painting</t>
  </si>
  <si>
    <t>HIS 101</t>
  </si>
  <si>
    <t>World History to 1500</t>
  </si>
  <si>
    <t>MAT 103</t>
  </si>
  <si>
    <t>Geometry and Visualization</t>
  </si>
  <si>
    <t>Composition - Intermediate</t>
  </si>
  <si>
    <t>MAT 104</t>
  </si>
  <si>
    <t>Trigonometry</t>
  </si>
  <si>
    <t>ECO 200</t>
  </si>
  <si>
    <t>Principles of Economics: Microeconomics</t>
  </si>
  <si>
    <t>HIS 111</t>
  </si>
  <si>
    <t>U.S. History to 1877</t>
  </si>
  <si>
    <t>POL 213</t>
  </si>
  <si>
    <t>Women and Politics</t>
  </si>
  <si>
    <t>MAT 098</t>
  </si>
  <si>
    <t>Intermediate Algebra</t>
  </si>
  <si>
    <t>GEG 100</t>
  </si>
  <si>
    <t>Introduction to Geography</t>
  </si>
  <si>
    <t>GEG 205</t>
  </si>
  <si>
    <t>Physical Geography</t>
  </si>
  <si>
    <t>BIO 101</t>
  </si>
  <si>
    <t>General Biology</t>
  </si>
  <si>
    <t>CHE 139</t>
  </si>
  <si>
    <t>Fundamentals of Chemistry</t>
  </si>
  <si>
    <t>PHY 101</t>
  </si>
  <si>
    <t>General Physics</t>
  </si>
  <si>
    <t>PHY 203</t>
  </si>
  <si>
    <t>Engineering Physics II</t>
  </si>
  <si>
    <t>CIS 101</t>
  </si>
  <si>
    <t>Microcomputer Applications</t>
  </si>
  <si>
    <t>MAT 097</t>
  </si>
  <si>
    <t>Elementary Algebra</t>
  </si>
  <si>
    <t>Problem Solving and Structured Programming</t>
  </si>
  <si>
    <t>This Quiz uses the School Scheduling database</t>
  </si>
  <si>
    <t>Quiz</t>
  </si>
  <si>
    <t xml:space="preserve">Extract a list for instructors who are employed full time.  Column order should be Title, StFristNmae, StrLastName, Status, Tenured.  Order the result set alphabetically by last name.  </t>
  </si>
  <si>
    <t xml:space="preserve">Return a result set  of staff and students.  The result set should include first and last name called Fullname, City, State and Stakeholder type which is the positon for staff and hardcode the value 'Student' for students.  Order the result set by State, city then fullname alpabetically.  </t>
  </si>
  <si>
    <t>Fullname</t>
  </si>
  <si>
    <t>Tables:
Classes
Faculty
Faculty_Classes
Subjects
Staff</t>
  </si>
  <si>
    <t xml:space="preserve">Return a result set of studentID, studentName (first and last), grade and classstatusdescription for all 
Information System majors for courses they have completed.  Order the result set alphabetically by 
student last name.  </t>
  </si>
  <si>
    <r>
      <t>select</t>
    </r>
    <r>
      <rPr>
        <sz val="14"/>
        <color rgb="FF212121"/>
        <rFont val="Consolas"/>
        <family val="3"/>
      </rPr>
      <t> ss.StudentID,stu.StudFirstName </t>
    </r>
    <r>
      <rPr>
        <sz val="14"/>
        <color rgb="FF000000"/>
        <rFont val="Consolas"/>
        <family val="3"/>
      </rPr>
      <t>+</t>
    </r>
    <r>
      <rPr>
        <sz val="14"/>
        <color rgb="FF212121"/>
        <rFont val="Consolas"/>
        <family val="3"/>
      </rPr>
      <t> </t>
    </r>
    <r>
      <rPr>
        <sz val="14"/>
        <color rgb="FFA31515"/>
        <rFont val="Consolas"/>
        <family val="3"/>
      </rPr>
      <t>' '</t>
    </r>
    <r>
      <rPr>
        <sz val="14"/>
        <color rgb="FF212121"/>
        <rFont val="Consolas"/>
        <family val="3"/>
      </rPr>
      <t> </t>
    </r>
    <r>
      <rPr>
        <sz val="14"/>
        <color rgb="FF000000"/>
        <rFont val="Consolas"/>
        <family val="3"/>
      </rPr>
      <t>+</t>
    </r>
    <r>
      <rPr>
        <sz val="14"/>
        <color rgb="FF212121"/>
        <rFont val="Consolas"/>
        <family val="3"/>
      </rPr>
      <t> StudLastName </t>
    </r>
    <r>
      <rPr>
        <sz val="14"/>
        <color rgb="FF0000FF"/>
        <rFont val="Consolas"/>
        <family val="3"/>
      </rPr>
      <t>as</t>
    </r>
    <r>
      <rPr>
        <sz val="14"/>
        <color rgb="FF212121"/>
        <rFont val="Consolas"/>
        <family val="3"/>
      </rPr>
      <t> studentname, major, grade,  scs.[ClassStatusDescription]</t>
    </r>
  </si>
  <si>
    <r>
      <t>from</t>
    </r>
    <r>
      <rPr>
        <sz val="14"/>
        <color rgb="FF212121"/>
        <rFont val="Consolas"/>
        <family val="3"/>
      </rPr>
      <t> [dbo].[Students] stu </t>
    </r>
  </si>
  <si>
    <r>
      <t>inner join</t>
    </r>
    <r>
      <rPr>
        <sz val="14"/>
        <color rgb="FF212121"/>
        <rFont val="Consolas"/>
        <family val="3"/>
      </rPr>
      <t> majors may </t>
    </r>
    <r>
      <rPr>
        <sz val="14"/>
        <color rgb="FF0000FF"/>
        <rFont val="Consolas"/>
        <family val="3"/>
      </rPr>
      <t>ON</t>
    </r>
  </si>
  <si>
    <r>
      <t>may.MajorID</t>
    </r>
    <r>
      <rPr>
        <sz val="14"/>
        <color rgb="FF000000"/>
        <rFont val="Consolas"/>
        <family val="3"/>
      </rPr>
      <t>=</t>
    </r>
    <r>
      <rPr>
        <sz val="14"/>
        <color rgb="FF212121"/>
        <rFont val="Consolas"/>
        <family val="3"/>
      </rPr>
      <t>stu.StudMajor</t>
    </r>
  </si>
  <si>
    <r>
      <t>inner join</t>
    </r>
    <r>
      <rPr>
        <sz val="14"/>
        <color rgb="FF212121"/>
        <rFont val="Consolas"/>
        <family val="3"/>
      </rPr>
      <t> Student_Schedules ss </t>
    </r>
    <r>
      <rPr>
        <sz val="14"/>
        <color rgb="FF0000FF"/>
        <rFont val="Consolas"/>
        <family val="3"/>
      </rPr>
      <t>ON</t>
    </r>
  </si>
  <si>
    <r>
      <t>stu.StudentID</t>
    </r>
    <r>
      <rPr>
        <sz val="14"/>
        <color rgb="FF000000"/>
        <rFont val="Consolas"/>
        <family val="3"/>
      </rPr>
      <t>=</t>
    </r>
    <r>
      <rPr>
        <sz val="14"/>
        <color rgb="FF212121"/>
        <rFont val="Consolas"/>
        <family val="3"/>
      </rPr>
      <t>ss.StudentID</t>
    </r>
  </si>
  <si>
    <r>
      <t>inner join</t>
    </r>
    <r>
      <rPr>
        <sz val="14"/>
        <color rgb="FF212121"/>
        <rFont val="Consolas"/>
        <family val="3"/>
      </rPr>
      <t> Student_Class_Status scs </t>
    </r>
    <r>
      <rPr>
        <sz val="14"/>
        <color rgb="FF0000FF"/>
        <rFont val="Consolas"/>
        <family val="3"/>
      </rPr>
      <t>on</t>
    </r>
  </si>
  <si>
    <r>
      <t>scs.classstatus</t>
    </r>
    <r>
      <rPr>
        <sz val="14"/>
        <color rgb="FF000000"/>
        <rFont val="Consolas"/>
        <family val="3"/>
      </rPr>
      <t>=</t>
    </r>
    <r>
      <rPr>
        <sz val="14"/>
        <color rgb="FF212121"/>
        <rFont val="Consolas"/>
        <family val="3"/>
      </rPr>
      <t>ss.ClassStatus</t>
    </r>
  </si>
  <si>
    <r>
      <t>where</t>
    </r>
    <r>
      <rPr>
        <sz val="14"/>
        <color rgb="FF212121"/>
        <rFont val="Consolas"/>
        <family val="3"/>
      </rPr>
      <t> major </t>
    </r>
    <r>
      <rPr>
        <sz val="14"/>
        <color rgb="FF0000FF"/>
        <rFont val="Consolas"/>
        <family val="3"/>
      </rPr>
      <t>in</t>
    </r>
    <r>
      <rPr>
        <sz val="14"/>
        <color rgb="FF212121"/>
        <rFont val="Consolas"/>
        <family val="3"/>
      </rPr>
      <t> (</t>
    </r>
    <r>
      <rPr>
        <sz val="14"/>
        <color rgb="FFA31515"/>
        <rFont val="Consolas"/>
        <family val="3"/>
      </rPr>
      <t>'Information Sciences'</t>
    </r>
    <r>
      <rPr>
        <sz val="14"/>
        <color rgb="FF212121"/>
        <rFont val="Consolas"/>
        <family val="3"/>
      </rPr>
      <t>)</t>
    </r>
  </si>
  <si>
    <r>
      <t>and</t>
    </r>
    <r>
      <rPr>
        <sz val="14"/>
        <color rgb="FF212121"/>
        <rFont val="Consolas"/>
        <family val="3"/>
      </rPr>
      <t> scs.ClassStatusDescription</t>
    </r>
    <r>
      <rPr>
        <sz val="14"/>
        <color rgb="FF000000"/>
        <rFont val="Consolas"/>
        <family val="3"/>
      </rPr>
      <t>=</t>
    </r>
    <r>
      <rPr>
        <sz val="14"/>
        <color rgb="FFA31515"/>
        <rFont val="Consolas"/>
        <family val="3"/>
      </rPr>
      <t>'Completed'</t>
    </r>
  </si>
  <si>
    <r>
      <t>order by</t>
    </r>
    <r>
      <rPr>
        <sz val="14"/>
        <color rgb="FF212121"/>
        <rFont val="Consolas"/>
        <family val="3"/>
      </rPr>
      <t> StudLastName</t>
    </r>
  </si>
  <si>
    <r>
      <t>where</t>
    </r>
    <r>
      <rPr>
        <sz val="22"/>
        <color rgb="FF212121"/>
        <rFont val="Consolas"/>
        <family val="3"/>
      </rPr>
      <t> SubjectCode </t>
    </r>
    <r>
      <rPr>
        <sz val="22"/>
        <color rgb="FF0000FF"/>
        <rFont val="Consolas"/>
        <family val="3"/>
      </rPr>
      <t>like</t>
    </r>
    <r>
      <rPr>
        <sz val="22"/>
        <color rgb="FF212121"/>
        <rFont val="Consolas"/>
        <family val="3"/>
      </rPr>
      <t> </t>
    </r>
    <r>
      <rPr>
        <sz val="22"/>
        <color rgb="FFA31515"/>
        <rFont val="Consolas"/>
        <family val="3"/>
      </rPr>
      <t>'CIS 114'</t>
    </r>
  </si>
  <si>
    <r>
      <t>select</t>
    </r>
    <r>
      <rPr>
        <sz val="16"/>
        <color rgb="FF212121"/>
        <rFont val="Consolas"/>
        <family val="3"/>
      </rPr>
      <t> title, [StfFirstName],[StfLastname],</t>
    </r>
    <r>
      <rPr>
        <sz val="16"/>
        <color rgb="FF0000FF"/>
        <rFont val="Consolas"/>
        <family val="3"/>
      </rPr>
      <t>status</t>
    </r>
    <r>
      <rPr>
        <sz val="16"/>
        <color rgb="FF212121"/>
        <rFont val="Consolas"/>
        <family val="3"/>
      </rPr>
      <t>, tenured</t>
    </r>
  </si>
  <si>
    <r>
      <t>from</t>
    </r>
    <r>
      <rPr>
        <sz val="16"/>
        <color rgb="FF212121"/>
        <rFont val="Consolas"/>
        <family val="3"/>
      </rPr>
      <t> Staff</t>
    </r>
  </si>
  <si>
    <r>
      <t>inner join</t>
    </r>
    <r>
      <rPr>
        <sz val="16"/>
        <color rgb="FF212121"/>
        <rFont val="Consolas"/>
        <family val="3"/>
      </rPr>
      <t> faculty </t>
    </r>
    <r>
      <rPr>
        <sz val="16"/>
        <color rgb="FF0000FF"/>
        <rFont val="Consolas"/>
        <family val="3"/>
      </rPr>
      <t>ON</t>
    </r>
  </si>
  <si>
    <r>
      <t>staff.staffid</t>
    </r>
    <r>
      <rPr>
        <sz val="16"/>
        <color rgb="FF000000"/>
        <rFont val="Consolas"/>
        <family val="3"/>
      </rPr>
      <t>=</t>
    </r>
    <r>
      <rPr>
        <sz val="16"/>
        <color rgb="FF212121"/>
        <rFont val="Consolas"/>
        <family val="3"/>
      </rPr>
      <t> faculty.staffid</t>
    </r>
  </si>
  <si>
    <r>
      <t>where</t>
    </r>
    <r>
      <rPr>
        <sz val="16"/>
        <color rgb="FF212121"/>
        <rFont val="Consolas"/>
        <family val="3"/>
      </rPr>
      <t> title </t>
    </r>
    <r>
      <rPr>
        <sz val="16"/>
        <color rgb="FF000000"/>
        <rFont val="Consolas"/>
        <family val="3"/>
      </rPr>
      <t>=</t>
    </r>
    <r>
      <rPr>
        <sz val="16"/>
        <color rgb="FFA31515"/>
        <rFont val="Consolas"/>
        <family val="3"/>
      </rPr>
      <t>'Instructor'</t>
    </r>
    <r>
      <rPr>
        <sz val="16"/>
        <color rgb="FF212121"/>
        <rFont val="Consolas"/>
        <family val="3"/>
      </rPr>
      <t> </t>
    </r>
    <r>
      <rPr>
        <sz val="16"/>
        <color rgb="FF0000FF"/>
        <rFont val="Consolas"/>
        <family val="3"/>
      </rPr>
      <t>and</t>
    </r>
    <r>
      <rPr>
        <sz val="16"/>
        <color rgb="FF212121"/>
        <rFont val="Consolas"/>
        <family val="3"/>
      </rPr>
      <t> </t>
    </r>
    <r>
      <rPr>
        <sz val="16"/>
        <color rgb="FF0000FF"/>
        <rFont val="Consolas"/>
        <family val="3"/>
      </rPr>
      <t>status</t>
    </r>
    <r>
      <rPr>
        <sz val="16"/>
        <color rgb="FF000000"/>
        <rFont val="Consolas"/>
        <family val="3"/>
      </rPr>
      <t>=</t>
    </r>
    <r>
      <rPr>
        <sz val="16"/>
        <color rgb="FFA31515"/>
        <rFont val="Consolas"/>
        <family val="3"/>
      </rPr>
      <t>'Full Time'</t>
    </r>
  </si>
  <si>
    <r>
      <t>order by</t>
    </r>
    <r>
      <rPr>
        <sz val="16"/>
        <color rgb="FF212121"/>
        <rFont val="Consolas"/>
        <family val="3"/>
      </rPr>
      <t> StfLastname</t>
    </r>
  </si>
  <si>
    <r>
      <t>select</t>
    </r>
    <r>
      <rPr>
        <sz val="14"/>
        <color rgb="FF212121"/>
        <rFont val="Consolas"/>
        <family val="3"/>
      </rPr>
      <t> [StfFirstName]</t>
    </r>
    <r>
      <rPr>
        <sz val="14"/>
        <color rgb="FF000000"/>
        <rFont val="Consolas"/>
        <family val="3"/>
      </rPr>
      <t>+</t>
    </r>
    <r>
      <rPr>
        <sz val="14"/>
        <color rgb="FF212121"/>
        <rFont val="Consolas"/>
        <family val="3"/>
      </rPr>
      <t> </t>
    </r>
    <r>
      <rPr>
        <sz val="14"/>
        <color rgb="FFA31515"/>
        <rFont val="Consolas"/>
        <family val="3"/>
      </rPr>
      <t>' '</t>
    </r>
    <r>
      <rPr>
        <sz val="14"/>
        <color rgb="FF212121"/>
        <rFont val="Consolas"/>
        <family val="3"/>
      </rPr>
      <t> </t>
    </r>
    <r>
      <rPr>
        <sz val="14"/>
        <color rgb="FF000000"/>
        <rFont val="Consolas"/>
        <family val="3"/>
      </rPr>
      <t>+</t>
    </r>
    <r>
      <rPr>
        <sz val="14"/>
        <color rgb="FF212121"/>
        <rFont val="Consolas"/>
        <family val="3"/>
      </rPr>
      <t> [StfLastname] </t>
    </r>
    <r>
      <rPr>
        <sz val="14"/>
        <color rgb="FF0000FF"/>
        <rFont val="Consolas"/>
        <family val="3"/>
      </rPr>
      <t>as</t>
    </r>
    <r>
      <rPr>
        <sz val="14"/>
        <color rgb="FF212121"/>
        <rFont val="Consolas"/>
        <family val="3"/>
      </rPr>
      <t> Fullname,[StfCity] </t>
    </r>
    <r>
      <rPr>
        <sz val="14"/>
        <color rgb="FF0000FF"/>
        <rFont val="Consolas"/>
        <family val="3"/>
      </rPr>
      <t>as</t>
    </r>
    <r>
      <rPr>
        <sz val="14"/>
        <color rgb="FF212121"/>
        <rFont val="Consolas"/>
        <family val="3"/>
      </rPr>
      <t> City ,[StfState] </t>
    </r>
    <r>
      <rPr>
        <sz val="14"/>
        <color rgb="FF0000FF"/>
        <rFont val="Consolas"/>
        <family val="3"/>
      </rPr>
      <t>as</t>
    </r>
    <r>
      <rPr>
        <sz val="14"/>
        <color rgb="FF212121"/>
        <rFont val="Consolas"/>
        <family val="3"/>
      </rPr>
      <t> </t>
    </r>
    <r>
      <rPr>
        <sz val="14"/>
        <color rgb="FF0000FF"/>
        <rFont val="Consolas"/>
        <family val="3"/>
      </rPr>
      <t>state</t>
    </r>
    <r>
      <rPr>
        <sz val="14"/>
        <color rgb="FF212121"/>
        <rFont val="Consolas"/>
        <family val="3"/>
      </rPr>
      <t>, position </t>
    </r>
    <r>
      <rPr>
        <sz val="14"/>
        <color rgb="FF0000FF"/>
        <rFont val="Consolas"/>
        <family val="3"/>
      </rPr>
      <t>as</t>
    </r>
    <r>
      <rPr>
        <sz val="14"/>
        <color rgb="FF212121"/>
        <rFont val="Consolas"/>
        <family val="3"/>
      </rPr>
      <t> StakeholderType</t>
    </r>
  </si>
  <si>
    <r>
      <t>from</t>
    </r>
    <r>
      <rPr>
        <sz val="14"/>
        <color rgb="FF212121"/>
        <rFont val="Consolas"/>
        <family val="3"/>
      </rPr>
      <t> staff</t>
    </r>
  </si>
  <si>
    <r>
      <t>select</t>
    </r>
    <r>
      <rPr>
        <sz val="14"/>
        <color rgb="FF212121"/>
        <rFont val="Consolas"/>
        <family val="3"/>
      </rPr>
      <t> [StudFirstName] </t>
    </r>
    <r>
      <rPr>
        <sz val="14"/>
        <color rgb="FF000000"/>
        <rFont val="Consolas"/>
        <family val="3"/>
      </rPr>
      <t>+</t>
    </r>
    <r>
      <rPr>
        <sz val="14"/>
        <color rgb="FF212121"/>
        <rFont val="Consolas"/>
        <family val="3"/>
      </rPr>
      <t> </t>
    </r>
    <r>
      <rPr>
        <sz val="14"/>
        <color rgb="FFA31515"/>
        <rFont val="Consolas"/>
        <family val="3"/>
      </rPr>
      <t>' '</t>
    </r>
    <r>
      <rPr>
        <sz val="14"/>
        <color rgb="FF212121"/>
        <rFont val="Consolas"/>
        <family val="3"/>
      </rPr>
      <t> </t>
    </r>
    <r>
      <rPr>
        <sz val="14"/>
        <color rgb="FF000000"/>
        <rFont val="Consolas"/>
        <family val="3"/>
      </rPr>
      <t>+</t>
    </r>
    <r>
      <rPr>
        <sz val="14"/>
        <color rgb="FF212121"/>
        <rFont val="Consolas"/>
        <family val="3"/>
      </rPr>
      <t> [StudLastName] Fullname,[StudCity] </t>
    </r>
    <r>
      <rPr>
        <sz val="14"/>
        <color rgb="FF0000FF"/>
        <rFont val="Consolas"/>
        <family val="3"/>
      </rPr>
      <t>as</t>
    </r>
    <r>
      <rPr>
        <sz val="14"/>
        <color rgb="FF212121"/>
        <rFont val="Consolas"/>
        <family val="3"/>
      </rPr>
      <t> City ,[StudState] </t>
    </r>
    <r>
      <rPr>
        <sz val="14"/>
        <color rgb="FF0000FF"/>
        <rFont val="Consolas"/>
        <family val="3"/>
      </rPr>
      <t>as</t>
    </r>
    <r>
      <rPr>
        <sz val="14"/>
        <color rgb="FF212121"/>
        <rFont val="Consolas"/>
        <family val="3"/>
      </rPr>
      <t> </t>
    </r>
    <r>
      <rPr>
        <sz val="14"/>
        <color rgb="FF0000FF"/>
        <rFont val="Consolas"/>
        <family val="3"/>
      </rPr>
      <t>State</t>
    </r>
    <r>
      <rPr>
        <sz val="14"/>
        <color rgb="FF212121"/>
        <rFont val="Consolas"/>
        <family val="3"/>
      </rPr>
      <t>, </t>
    </r>
    <r>
      <rPr>
        <sz val="14"/>
        <color rgb="FFA31515"/>
        <rFont val="Consolas"/>
        <family val="3"/>
      </rPr>
      <t>'Student'</t>
    </r>
    <r>
      <rPr>
        <sz val="14"/>
        <color rgb="FF212121"/>
        <rFont val="Consolas"/>
        <family val="3"/>
      </rPr>
      <t> </t>
    </r>
    <r>
      <rPr>
        <sz val="14"/>
        <color rgb="FF0000FF"/>
        <rFont val="Consolas"/>
        <family val="3"/>
      </rPr>
      <t>as</t>
    </r>
    <r>
      <rPr>
        <sz val="14"/>
        <color rgb="FF212121"/>
        <rFont val="Consolas"/>
        <family val="3"/>
      </rPr>
      <t> StakeholderType</t>
    </r>
  </si>
  <si>
    <r>
      <t>from</t>
    </r>
    <r>
      <rPr>
        <sz val="14"/>
        <color rgb="FF212121"/>
        <rFont val="Consolas"/>
        <family val="3"/>
      </rPr>
      <t> students</t>
    </r>
  </si>
  <si>
    <r>
      <t>order by</t>
    </r>
    <r>
      <rPr>
        <sz val="14"/>
        <color rgb="FF212121"/>
        <rFont val="Consolas"/>
        <family val="3"/>
      </rPr>
      <t> </t>
    </r>
    <r>
      <rPr>
        <sz val="14"/>
        <color rgb="FF0000FF"/>
        <rFont val="Consolas"/>
        <family val="3"/>
      </rPr>
      <t>state</t>
    </r>
    <r>
      <rPr>
        <sz val="14"/>
        <color rgb="FF212121"/>
        <rFont val="Consolas"/>
        <family val="3"/>
      </rPr>
      <t>, city, fullname</t>
    </r>
  </si>
  <si>
    <r>
      <t>select</t>
    </r>
    <r>
      <rPr>
        <sz val="20"/>
        <color rgb="FF212121"/>
        <rFont val="Consolas"/>
        <family val="3"/>
      </rPr>
      <t>  [StfFirstName] </t>
    </r>
    <r>
      <rPr>
        <sz val="20"/>
        <color rgb="FF000000"/>
        <rFont val="Consolas"/>
        <family val="3"/>
      </rPr>
      <t>+</t>
    </r>
    <r>
      <rPr>
        <sz val="20"/>
        <color rgb="FF212121"/>
        <rFont val="Consolas"/>
        <family val="3"/>
      </rPr>
      <t> </t>
    </r>
    <r>
      <rPr>
        <sz val="20"/>
        <color rgb="FFA31515"/>
        <rFont val="Consolas"/>
        <family val="3"/>
      </rPr>
      <t>' '</t>
    </r>
    <r>
      <rPr>
        <sz val="20"/>
        <color rgb="FF212121"/>
        <rFont val="Consolas"/>
        <family val="3"/>
      </rPr>
      <t> </t>
    </r>
    <r>
      <rPr>
        <sz val="20"/>
        <color rgb="FF000000"/>
        <rFont val="Consolas"/>
        <family val="3"/>
      </rPr>
      <t>+</t>
    </r>
    <r>
      <rPr>
        <sz val="20"/>
        <color rgb="FF212121"/>
        <rFont val="Consolas"/>
        <family val="3"/>
      </rPr>
      <t>[StfLastname] </t>
    </r>
    <r>
      <rPr>
        <sz val="20"/>
        <color rgb="FF0000FF"/>
        <rFont val="Consolas"/>
        <family val="3"/>
      </rPr>
      <t>as</t>
    </r>
    <r>
      <rPr>
        <sz val="20"/>
        <color rgb="FF212121"/>
        <rFont val="Consolas"/>
        <family val="3"/>
      </rPr>
      <t> InstructorName, SubjectCode, subjectname, startdate</t>
    </r>
  </si>
  <si>
    <r>
      <t>from</t>
    </r>
    <r>
      <rPr>
        <sz val="20"/>
        <color rgb="FF212121"/>
        <rFont val="Consolas"/>
        <family val="3"/>
      </rPr>
      <t> Staff</t>
    </r>
  </si>
  <si>
    <r>
      <t>left outer join</t>
    </r>
    <r>
      <rPr>
        <sz val="20"/>
        <color rgb="FF212121"/>
        <rFont val="Consolas"/>
        <family val="3"/>
      </rPr>
      <t> faculty </t>
    </r>
    <r>
      <rPr>
        <sz val="20"/>
        <color rgb="FF0000FF"/>
        <rFont val="Consolas"/>
        <family val="3"/>
      </rPr>
      <t>ON</t>
    </r>
  </si>
  <si>
    <r>
      <t>staff.staffid</t>
    </r>
    <r>
      <rPr>
        <sz val="20"/>
        <color rgb="FF000000"/>
        <rFont val="Consolas"/>
        <family val="3"/>
      </rPr>
      <t>=</t>
    </r>
    <r>
      <rPr>
        <sz val="20"/>
        <color rgb="FF212121"/>
        <rFont val="Consolas"/>
        <family val="3"/>
      </rPr>
      <t> faculty.staffid</t>
    </r>
  </si>
  <si>
    <r>
      <t>left outer join</t>
    </r>
    <r>
      <rPr>
        <sz val="20"/>
        <color rgb="FF212121"/>
        <rFont val="Consolas"/>
        <family val="3"/>
      </rPr>
      <t> faculty_classes fc </t>
    </r>
    <r>
      <rPr>
        <sz val="20"/>
        <color rgb="FF0000FF"/>
        <rFont val="Consolas"/>
        <family val="3"/>
      </rPr>
      <t>ON</t>
    </r>
  </si>
  <si>
    <r>
      <t>faculty.staffid</t>
    </r>
    <r>
      <rPr>
        <sz val="20"/>
        <color rgb="FF000000"/>
        <rFont val="Consolas"/>
        <family val="3"/>
      </rPr>
      <t>=</t>
    </r>
    <r>
      <rPr>
        <sz val="20"/>
        <color rgb="FF212121"/>
        <rFont val="Consolas"/>
        <family val="3"/>
      </rPr>
      <t>fc.staffid</t>
    </r>
  </si>
  <si>
    <r>
      <t>left join</t>
    </r>
    <r>
      <rPr>
        <sz val="20"/>
        <color rgb="FF212121"/>
        <rFont val="Consolas"/>
        <family val="3"/>
      </rPr>
      <t> classes cls </t>
    </r>
    <r>
      <rPr>
        <sz val="20"/>
        <color rgb="FF0000FF"/>
        <rFont val="Consolas"/>
        <family val="3"/>
      </rPr>
      <t>ON</t>
    </r>
  </si>
  <si>
    <r>
      <t>fc.classid</t>
    </r>
    <r>
      <rPr>
        <sz val="20"/>
        <color rgb="FF000000"/>
        <rFont val="Consolas"/>
        <family val="3"/>
      </rPr>
      <t>=</t>
    </r>
    <r>
      <rPr>
        <sz val="20"/>
        <color rgb="FF212121"/>
        <rFont val="Consolas"/>
        <family val="3"/>
      </rPr>
      <t>cls.classid</t>
    </r>
  </si>
  <si>
    <r>
      <t>left join</t>
    </r>
    <r>
      <rPr>
        <sz val="20"/>
        <color rgb="FF212121"/>
        <rFont val="Consolas"/>
        <family val="3"/>
      </rPr>
      <t> subjects sub </t>
    </r>
    <r>
      <rPr>
        <sz val="20"/>
        <color rgb="FF0000FF"/>
        <rFont val="Consolas"/>
        <family val="3"/>
      </rPr>
      <t>ON</t>
    </r>
  </si>
  <si>
    <r>
      <t>cls.subjectid</t>
    </r>
    <r>
      <rPr>
        <sz val="20"/>
        <color rgb="FF000000"/>
        <rFont val="Consolas"/>
        <family val="3"/>
      </rPr>
      <t>=</t>
    </r>
    <r>
      <rPr>
        <sz val="20"/>
        <color rgb="FF212121"/>
        <rFont val="Consolas"/>
        <family val="3"/>
      </rPr>
      <t>sub.subjectid</t>
    </r>
  </si>
  <si>
    <r>
      <t>where</t>
    </r>
    <r>
      <rPr>
        <sz val="20"/>
        <color rgb="FF212121"/>
        <rFont val="Consolas"/>
        <family val="3"/>
      </rPr>
      <t> startdate </t>
    </r>
    <r>
      <rPr>
        <sz val="20"/>
        <color rgb="FF000000"/>
        <rFont val="Consolas"/>
        <family val="3"/>
      </rPr>
      <t>&gt;</t>
    </r>
    <r>
      <rPr>
        <sz val="20"/>
        <color rgb="FF212121"/>
        <rFont val="Consolas"/>
        <family val="3"/>
      </rPr>
      <t> </t>
    </r>
    <r>
      <rPr>
        <sz val="20"/>
        <color rgb="FFA31515"/>
        <rFont val="Consolas"/>
        <family val="3"/>
      </rPr>
      <t>'2014-01-01'</t>
    </r>
    <r>
      <rPr>
        <sz val="20"/>
        <color rgb="FF212121"/>
        <rFont val="Consolas"/>
        <family val="3"/>
      </rPr>
      <t> </t>
    </r>
    <r>
      <rPr>
        <sz val="20"/>
        <color rgb="FF0000FF"/>
        <rFont val="Consolas"/>
        <family val="3"/>
      </rPr>
      <t>or</t>
    </r>
    <r>
      <rPr>
        <sz val="20"/>
        <color rgb="FF212121"/>
        <rFont val="Consolas"/>
        <family val="3"/>
      </rPr>
      <t> startdate </t>
    </r>
    <r>
      <rPr>
        <sz val="20"/>
        <color rgb="FF0000FF"/>
        <rFont val="Consolas"/>
        <family val="3"/>
      </rPr>
      <t>is</t>
    </r>
    <r>
      <rPr>
        <sz val="20"/>
        <color rgb="FF212121"/>
        <rFont val="Consolas"/>
        <family val="3"/>
      </rPr>
      <t> </t>
    </r>
    <r>
      <rPr>
        <sz val="20"/>
        <color rgb="FF0000FF"/>
        <rFont val="Consolas"/>
        <family val="3"/>
      </rPr>
      <t>null</t>
    </r>
  </si>
  <si>
    <r>
      <t>order by</t>
    </r>
    <r>
      <rPr>
        <sz val="20"/>
        <color rgb="FF212121"/>
        <rFont val="Consolas"/>
        <family val="3"/>
      </rPr>
      <t> stflastname, stffirstname, subjectcode</t>
    </r>
  </si>
  <si>
    <r>
      <t>from</t>
    </r>
    <r>
      <rPr>
        <sz val="7"/>
        <color rgb="FF212121"/>
        <rFont val="Consolas"/>
        <family val="3"/>
      </rPr>
      <t xml:space="preserve"> subjects sub</t>
    </r>
  </si>
  <si>
    <r>
      <t>select</t>
    </r>
    <r>
      <rPr>
        <sz val="7"/>
        <color rgb="FF212121"/>
        <rFont val="Consolas"/>
        <family val="3"/>
      </rPr>
      <t xml:space="preserve"> subjectcode,SubjectName,    SubjectEstClassSize, CategoryDescription </t>
    </r>
  </si>
  <si>
    <r>
      <t>inner join</t>
    </r>
    <r>
      <rPr>
        <sz val="7"/>
        <color rgb="FF212121"/>
        <rFont val="Consolas"/>
        <family val="3"/>
      </rPr>
      <t xml:space="preserve"> Categories cat </t>
    </r>
    <r>
      <rPr>
        <sz val="7"/>
        <color rgb="FF0000FF"/>
        <rFont val="Consolas"/>
        <family val="3"/>
      </rPr>
      <t>on</t>
    </r>
    <r>
      <rPr>
        <sz val="7"/>
        <color rgb="FF212121"/>
        <rFont val="Consolas"/>
        <family val="3"/>
      </rPr>
      <t xml:space="preserve"> sub.CategoryID</t>
    </r>
    <r>
      <rPr>
        <sz val="7"/>
        <color rgb="FF000000"/>
        <rFont val="Consolas"/>
        <family val="3"/>
      </rPr>
      <t>=</t>
    </r>
    <r>
      <rPr>
        <sz val="7"/>
        <color rgb="FF212121"/>
        <rFont val="Consolas"/>
        <family val="3"/>
      </rPr>
      <t>cat.CategoryID</t>
    </r>
  </si>
  <si>
    <t>subjectcode</t>
  </si>
  <si>
    <t>SubjectName</t>
  </si>
  <si>
    <t>CategoryDescription</t>
  </si>
  <si>
    <t>BUS 101</t>
  </si>
  <si>
    <t>Introduction to Business</t>
  </si>
  <si>
    <t>Business</t>
  </si>
  <si>
    <t>BUS 151</t>
  </si>
  <si>
    <t>Introduction to Entrepreneurship</t>
  </si>
  <si>
    <t>Art</t>
  </si>
  <si>
    <t>Geography</t>
  </si>
  <si>
    <t>Political Science</t>
  </si>
  <si>
    <r>
      <t>order by</t>
    </r>
    <r>
      <rPr>
        <sz val="7"/>
        <color rgb="FF212121"/>
        <rFont val="Consolas"/>
        <family val="3"/>
      </rPr>
      <t xml:space="preserve"> SubjectCode </t>
    </r>
    <r>
      <rPr>
        <sz val="7"/>
        <color rgb="FF0000FF"/>
        <rFont val="Consolas"/>
        <family val="3"/>
      </rPr>
      <t>asc</t>
    </r>
  </si>
  <si>
    <t xml:space="preserve"> Subjects
Categories</t>
  </si>
  <si>
    <t xml:space="preserve">Create a list of subjects that inlcudes subjectcode, duration, estimated class size and Category Description for subject names that have 'Introduction' in them.  
Order your result set by subject code.  </t>
  </si>
  <si>
    <r>
      <t>where</t>
    </r>
    <r>
      <rPr>
        <sz val="7"/>
        <color rgb="FF212121"/>
        <rFont val="Consolas"/>
        <family val="3"/>
      </rPr>
      <t xml:space="preserve"> subjectname </t>
    </r>
    <r>
      <rPr>
        <sz val="7"/>
        <color rgb="FF0000FF"/>
        <rFont val="Consolas"/>
        <family val="3"/>
      </rPr>
      <t>like</t>
    </r>
    <r>
      <rPr>
        <sz val="7"/>
        <color rgb="FF212121"/>
        <rFont val="Consolas"/>
        <family val="3"/>
      </rPr>
      <t xml:space="preserve"> </t>
    </r>
    <r>
      <rPr>
        <sz val="7"/>
        <color rgb="FFA31515"/>
        <rFont val="Consolas"/>
        <family val="3"/>
      </rPr>
      <t>'%Intro%'</t>
    </r>
  </si>
  <si>
    <t>V2 of this question</t>
  </si>
  <si>
    <t>Old version</t>
  </si>
  <si>
    <r>
      <t>select</t>
    </r>
    <r>
      <rPr>
        <sz val="7"/>
        <color rgb="FF212121"/>
        <rFont val="Consolas"/>
        <family val="3"/>
      </rPr>
      <t>  stu.StudentID, stu.StudFirstName </t>
    </r>
    <r>
      <rPr>
        <sz val="7"/>
        <color rgb="FF000000"/>
        <rFont val="Consolas"/>
        <family val="3"/>
      </rPr>
      <t>+</t>
    </r>
    <r>
      <rPr>
        <sz val="7"/>
        <color rgb="FF212121"/>
        <rFont val="Consolas"/>
        <family val="3"/>
      </rPr>
      <t> </t>
    </r>
    <r>
      <rPr>
        <sz val="7"/>
        <color rgb="FFA31515"/>
        <rFont val="Consolas"/>
        <family val="3"/>
      </rPr>
      <t>' '</t>
    </r>
    <r>
      <rPr>
        <sz val="7"/>
        <color rgb="FF212121"/>
        <rFont val="Consolas"/>
        <family val="3"/>
      </rPr>
      <t> </t>
    </r>
    <r>
      <rPr>
        <sz val="7"/>
        <color rgb="FF000000"/>
        <rFont val="Consolas"/>
        <family val="3"/>
      </rPr>
      <t>+</t>
    </r>
    <r>
      <rPr>
        <sz val="7"/>
        <color rgb="FF212121"/>
        <rFont val="Consolas"/>
        <family val="3"/>
      </rPr>
      <t> StudLastName </t>
    </r>
    <r>
      <rPr>
        <sz val="7"/>
        <color rgb="FF0000FF"/>
        <rFont val="Consolas"/>
        <family val="3"/>
      </rPr>
      <t>as</t>
    </r>
    <r>
      <rPr>
        <sz val="7"/>
        <color rgb="FF212121"/>
        <rFont val="Consolas"/>
        <family val="3"/>
      </rPr>
      <t> studentname,studgender, SubjectCode, </t>
    </r>
    <r>
      <rPr>
        <sz val="7"/>
        <color rgb="FF795E26"/>
        <rFont val="Consolas"/>
        <family val="3"/>
      </rPr>
      <t>datediff</t>
    </r>
    <r>
      <rPr>
        <sz val="7"/>
        <color rgb="FF212121"/>
        <rFont val="Consolas"/>
        <family val="3"/>
      </rPr>
      <t>(dayofyear,studbirthdate , StartDate)</t>
    </r>
    <r>
      <rPr>
        <sz val="7"/>
        <color rgb="FF000000"/>
        <rFont val="Consolas"/>
        <family val="3"/>
      </rPr>
      <t>/</t>
    </r>
    <r>
      <rPr>
        <sz val="7"/>
        <color rgb="FF09885A"/>
        <rFont val="Consolas"/>
        <family val="3"/>
      </rPr>
      <t>365</t>
    </r>
    <r>
      <rPr>
        <sz val="7"/>
        <color rgb="FF212121"/>
        <rFont val="Consolas"/>
        <family val="3"/>
      </rPr>
      <t> studentage,  startdate</t>
    </r>
  </si>
  <si>
    <r>
      <t>from</t>
    </r>
    <r>
      <rPr>
        <sz val="7"/>
        <color rgb="FF212121"/>
        <rFont val="Consolas"/>
        <family val="3"/>
      </rPr>
      <t> Students  Stu  </t>
    </r>
  </si>
  <si>
    <r>
      <t>inner join</t>
    </r>
    <r>
      <rPr>
        <sz val="7"/>
        <color rgb="FF212121"/>
        <rFont val="Consolas"/>
        <family val="3"/>
      </rPr>
      <t> Student_Schedules ss </t>
    </r>
    <r>
      <rPr>
        <sz val="7"/>
        <color rgb="FF0000FF"/>
        <rFont val="Consolas"/>
        <family val="3"/>
      </rPr>
      <t>on</t>
    </r>
    <r>
      <rPr>
        <sz val="7"/>
        <color rgb="FF212121"/>
        <rFont val="Consolas"/>
        <family val="3"/>
      </rPr>
      <t> </t>
    </r>
  </si>
  <si>
    <r>
      <t>stu.StudentID</t>
    </r>
    <r>
      <rPr>
        <sz val="7"/>
        <color rgb="FF000000"/>
        <rFont val="Consolas"/>
        <family val="3"/>
      </rPr>
      <t>=</t>
    </r>
    <r>
      <rPr>
        <sz val="7"/>
        <color rgb="FF212121"/>
        <rFont val="Consolas"/>
        <family val="3"/>
      </rPr>
      <t>ss.StudentID</t>
    </r>
  </si>
  <si>
    <r>
      <t>inner join</t>
    </r>
    <r>
      <rPr>
        <sz val="7"/>
        <color rgb="FF212121"/>
        <rFont val="Consolas"/>
        <family val="3"/>
      </rPr>
      <t> classes </t>
    </r>
    <r>
      <rPr>
        <sz val="7"/>
        <color rgb="FF0000FF"/>
        <rFont val="Consolas"/>
        <family val="3"/>
      </rPr>
      <t>ON</t>
    </r>
    <r>
      <rPr>
        <sz val="7"/>
        <color rgb="FF212121"/>
        <rFont val="Consolas"/>
        <family val="3"/>
      </rPr>
      <t> </t>
    </r>
  </si>
  <si>
    <r>
      <t>ss.ClassID</t>
    </r>
    <r>
      <rPr>
        <sz val="7"/>
        <color rgb="FF000000"/>
        <rFont val="Consolas"/>
        <family val="3"/>
      </rPr>
      <t>=</t>
    </r>
    <r>
      <rPr>
        <sz val="7"/>
        <color rgb="FF212121"/>
        <rFont val="Consolas"/>
        <family val="3"/>
      </rPr>
      <t>Classes.ClassID</t>
    </r>
  </si>
  <si>
    <r>
      <t>inner join</t>
    </r>
    <r>
      <rPr>
        <sz val="7"/>
        <color rgb="FF212121"/>
        <rFont val="Consolas"/>
        <family val="3"/>
      </rPr>
      <t> Subjects sub </t>
    </r>
    <r>
      <rPr>
        <sz val="7"/>
        <color rgb="FF0000FF"/>
        <rFont val="Consolas"/>
        <family val="3"/>
      </rPr>
      <t>on</t>
    </r>
    <r>
      <rPr>
        <sz val="7"/>
        <color rgb="FF212121"/>
        <rFont val="Consolas"/>
        <family val="3"/>
      </rPr>
      <t> </t>
    </r>
  </si>
  <si>
    <r>
      <t>classes.SubjectID</t>
    </r>
    <r>
      <rPr>
        <sz val="7"/>
        <color rgb="FF000000"/>
        <rFont val="Consolas"/>
        <family val="3"/>
      </rPr>
      <t>=</t>
    </r>
    <r>
      <rPr>
        <sz val="7"/>
        <color rgb="FF212121"/>
        <rFont val="Consolas"/>
        <family val="3"/>
      </rPr>
      <t>sub.SubjectID</t>
    </r>
  </si>
  <si>
    <r>
      <t>where</t>
    </r>
    <r>
      <rPr>
        <sz val="7"/>
        <color rgb="FF212121"/>
        <rFont val="Consolas"/>
        <family val="3"/>
      </rPr>
      <t> SubjectCode </t>
    </r>
    <r>
      <rPr>
        <sz val="7"/>
        <color rgb="FF0000FF"/>
        <rFont val="Consolas"/>
        <family val="3"/>
      </rPr>
      <t>like</t>
    </r>
    <r>
      <rPr>
        <sz val="7"/>
        <color rgb="FF212121"/>
        <rFont val="Consolas"/>
        <family val="3"/>
      </rPr>
      <t> </t>
    </r>
    <r>
      <rPr>
        <sz val="7"/>
        <color rgb="FFA31515"/>
        <rFont val="Consolas"/>
        <family val="3"/>
      </rPr>
      <t>'%CIS%'</t>
    </r>
  </si>
  <si>
    <t xml:space="preserve">Return a result set of studentID, studentName (first and last), gender, subjectcode, age as of startdate of course, startdate for
courses beginning with CIS   (subjectcode)
</t>
  </si>
  <si>
    <t xml:space="preserve">Added </t>
  </si>
  <si>
    <r>
      <t>and</t>
    </r>
    <r>
      <rPr>
        <sz val="7"/>
        <color rgb="FF212121"/>
        <rFont val="Consolas"/>
        <family val="3"/>
      </rPr>
      <t xml:space="preserve"> </t>
    </r>
    <r>
      <rPr>
        <sz val="7"/>
        <color rgb="FF0000FF"/>
        <rFont val="Consolas"/>
        <family val="3"/>
      </rPr>
      <t>status</t>
    </r>
    <r>
      <rPr>
        <sz val="7"/>
        <color rgb="FF212121"/>
        <rFont val="Consolas"/>
        <family val="3"/>
      </rPr>
      <t xml:space="preserve"> </t>
    </r>
    <r>
      <rPr>
        <sz val="7"/>
        <color rgb="FF000000"/>
        <rFont val="Consolas"/>
        <family val="3"/>
      </rPr>
      <t>=</t>
    </r>
    <r>
      <rPr>
        <sz val="7"/>
        <color rgb="FFA31515"/>
        <rFont val="Consolas"/>
        <family val="3"/>
      </rPr>
      <t>'Full Time'</t>
    </r>
  </si>
  <si>
    <r>
      <t>select</t>
    </r>
    <r>
      <rPr>
        <sz val="7"/>
        <color rgb="FF212121"/>
        <rFont val="Consolas"/>
        <family val="3"/>
      </rPr>
      <t>  [StfFirstName],[StfLastname],position, stfcity,</t>
    </r>
    <r>
      <rPr>
        <sz val="7"/>
        <color rgb="FF0000FF"/>
        <rFont val="Consolas"/>
        <family val="3"/>
      </rPr>
      <t>status</t>
    </r>
  </si>
  <si>
    <r>
      <t>from</t>
    </r>
    <r>
      <rPr>
        <sz val="7"/>
        <color rgb="FF212121"/>
        <rFont val="Consolas"/>
        <family val="3"/>
      </rPr>
      <t> Staff</t>
    </r>
  </si>
  <si>
    <r>
      <t>left outer join</t>
    </r>
    <r>
      <rPr>
        <sz val="7"/>
        <color rgb="FF212121"/>
        <rFont val="Consolas"/>
        <family val="3"/>
      </rPr>
      <t> faculty </t>
    </r>
    <r>
      <rPr>
        <sz val="7"/>
        <color rgb="FF0000FF"/>
        <rFont val="Consolas"/>
        <family val="3"/>
      </rPr>
      <t>ON</t>
    </r>
  </si>
  <si>
    <r>
      <t>staff.staffid</t>
    </r>
    <r>
      <rPr>
        <sz val="7"/>
        <color rgb="FF000000"/>
        <rFont val="Consolas"/>
        <family val="3"/>
      </rPr>
      <t>=</t>
    </r>
    <r>
      <rPr>
        <sz val="7"/>
        <color rgb="FF212121"/>
        <rFont val="Consolas"/>
        <family val="3"/>
      </rPr>
      <t> faculty.staffid</t>
    </r>
  </si>
  <si>
    <r>
      <t>where</t>
    </r>
    <r>
      <rPr>
        <sz val="7"/>
        <color rgb="FF212121"/>
        <rFont val="Consolas"/>
        <family val="3"/>
      </rPr>
      <t> [StfState]</t>
    </r>
    <r>
      <rPr>
        <sz val="7"/>
        <color rgb="FF000000"/>
        <rFont val="Consolas"/>
        <family val="3"/>
      </rPr>
      <t>=</t>
    </r>
    <r>
      <rPr>
        <sz val="7"/>
        <color rgb="FFA31515"/>
        <rFont val="Consolas"/>
        <family val="3"/>
      </rPr>
      <t>'WA'</t>
    </r>
  </si>
  <si>
    <r>
      <t>order by</t>
    </r>
    <r>
      <rPr>
        <sz val="7"/>
        <color rgb="FF212121"/>
        <rFont val="Consolas"/>
        <family val="3"/>
      </rPr>
      <t> StfLastname</t>
    </r>
  </si>
  <si>
    <t xml:space="preserve">Return a result set of staff (firstname, lastname, position, city and status for all employees living in Washington state and a stauts of 'Full Time'.  The result set should include both faculty and non-faculty employees.  </t>
  </si>
  <si>
    <t>10/24/2022 2:30:00 PM</t>
  </si>
  <si>
    <t>Cover Sheet - 1:1048576</t>
  </si>
  <si>
    <t>Cover Sheet - I11</t>
  </si>
  <si>
    <t>Austin</t>
  </si>
  <si>
    <t>CC6FCF1-330B-2983-A33-EA12C0</t>
  </si>
  <si>
    <t>Cover Sheet - H11</t>
  </si>
  <si>
    <t>Cover Sheet - F28</t>
  </si>
  <si>
    <t>Austin Perea</t>
  </si>
  <si>
    <t>Cover Sheet - H10</t>
  </si>
  <si>
    <t>Question1 - A5</t>
  </si>
  <si>
    <r>
      <t>from</t>
    </r>
    <r>
      <rPr>
        <sz val="9"/>
        <color rgb="FF212121"/>
        <rFont val="Consolas"/>
        <family val="3"/>
      </rPr>
      <t xml:space="preserve"> Subjects s</t>
    </r>
  </si>
  <si>
    <r>
      <t>inner join</t>
    </r>
    <r>
      <rPr>
        <sz val="9"/>
        <color rgb="FF212121"/>
        <rFont val="Consolas"/>
        <family val="3"/>
      </rPr>
      <t xml:space="preserve"> Categories c</t>
    </r>
  </si>
  <si>
    <r>
      <t>on</t>
    </r>
    <r>
      <rPr>
        <sz val="9"/>
        <color rgb="FF212121"/>
        <rFont val="Consolas"/>
        <family val="3"/>
      </rPr>
      <t xml:space="preserve"> s.CategoryID </t>
    </r>
    <r>
      <rPr>
        <sz val="9"/>
        <color rgb="FF000000"/>
        <rFont val="Consolas"/>
        <family val="3"/>
      </rPr>
      <t>=</t>
    </r>
    <r>
      <rPr>
        <sz val="9"/>
        <color rgb="FF212121"/>
        <rFont val="Consolas"/>
        <family val="3"/>
      </rPr>
      <t xml:space="preserve"> c.CategoryID</t>
    </r>
  </si>
  <si>
    <r>
      <t>WHERE</t>
    </r>
    <r>
      <rPr>
        <sz val="9"/>
        <color rgb="FF212121"/>
        <rFont val="Consolas"/>
        <family val="3"/>
      </rPr>
      <t xml:space="preserve"> s.SubjectName </t>
    </r>
    <r>
      <rPr>
        <sz val="9"/>
        <color rgb="FF0000FF"/>
        <rFont val="Consolas"/>
        <family val="3"/>
      </rPr>
      <t>LIKE</t>
    </r>
    <r>
      <rPr>
        <sz val="9"/>
        <color rgb="FF212121"/>
        <rFont val="Consolas"/>
        <family val="3"/>
      </rPr>
      <t xml:space="preserve"> </t>
    </r>
    <r>
      <rPr>
        <sz val="9"/>
        <color rgb="FFA31515"/>
        <rFont val="Consolas"/>
        <family val="3"/>
      </rPr>
      <t>'%introduction%'</t>
    </r>
  </si>
  <si>
    <r>
      <t>ORDER by</t>
    </r>
    <r>
      <rPr>
        <sz val="9"/>
        <color rgb="FF212121"/>
        <rFont val="Consolas"/>
        <family val="3"/>
      </rPr>
      <t xml:space="preserve"> s.SubjectCode</t>
    </r>
  </si>
  <si>
    <t>Question1 - N4:N9</t>
  </si>
  <si>
    <t>SELECT s.SubjectCode,s.SubjectDescription, s.SubjectEstClassSize, c.CategoryDescription</t>
  </si>
  <si>
    <t>Question1 - A5:D10</t>
  </si>
  <si>
    <r>
      <t>Select</t>
    </r>
    <r>
      <rPr>
        <sz val="9"/>
        <color rgb="FF212121"/>
        <rFont val="Consolas"/>
        <family val="3"/>
      </rPr>
      <t xml:space="preserve"> s.StudentID, </t>
    </r>
    <r>
      <rPr>
        <sz val="9"/>
        <color rgb="FF795E26"/>
        <rFont val="Consolas"/>
        <family val="3"/>
      </rPr>
      <t>CONCAT</t>
    </r>
    <r>
      <rPr>
        <sz val="9"/>
        <color rgb="FF212121"/>
        <rFont val="Consolas"/>
        <family val="3"/>
      </rPr>
      <t xml:space="preserve">(s.StudFirstName, </t>
    </r>
    <r>
      <rPr>
        <sz val="9"/>
        <color rgb="FFA31515"/>
        <rFont val="Consolas"/>
        <family val="3"/>
      </rPr>
      <t>' '</t>
    </r>
    <r>
      <rPr>
        <sz val="9"/>
        <color rgb="FF212121"/>
        <rFont val="Consolas"/>
        <family val="3"/>
      </rPr>
      <t xml:space="preserve">, s.StudLastName) </t>
    </r>
    <r>
      <rPr>
        <sz val="9"/>
        <color rgb="FF0000FF"/>
        <rFont val="Consolas"/>
        <family val="3"/>
      </rPr>
      <t>as</t>
    </r>
    <r>
      <rPr>
        <sz val="9"/>
        <color rgb="FF212121"/>
        <rFont val="Consolas"/>
        <family val="3"/>
      </rPr>
      <t xml:space="preserve"> studentName, ss.Grade, scs.ClassStatusDescription</t>
    </r>
  </si>
  <si>
    <r>
      <t>FROM</t>
    </r>
    <r>
      <rPr>
        <sz val="9"/>
        <color rgb="FF212121"/>
        <rFont val="Consolas"/>
        <family val="3"/>
      </rPr>
      <t xml:space="preserve"> Students s</t>
    </r>
  </si>
  <si>
    <r>
      <t>inner join</t>
    </r>
    <r>
      <rPr>
        <sz val="9"/>
        <color rgb="FF212121"/>
        <rFont val="Consolas"/>
        <family val="3"/>
      </rPr>
      <t xml:space="preserve"> Majors m</t>
    </r>
  </si>
  <si>
    <r>
      <t>on</t>
    </r>
    <r>
      <rPr>
        <sz val="9"/>
        <color rgb="FF212121"/>
        <rFont val="Consolas"/>
        <family val="3"/>
      </rPr>
      <t xml:space="preserve"> s.StudMajor </t>
    </r>
    <r>
      <rPr>
        <sz val="9"/>
        <color rgb="FF000000"/>
        <rFont val="Consolas"/>
        <family val="3"/>
      </rPr>
      <t>=</t>
    </r>
    <r>
      <rPr>
        <sz val="9"/>
        <color rgb="FF212121"/>
        <rFont val="Consolas"/>
        <family val="3"/>
      </rPr>
      <t xml:space="preserve"> m.MajorID</t>
    </r>
  </si>
  <si>
    <r>
      <t>inner join</t>
    </r>
    <r>
      <rPr>
        <sz val="9"/>
        <color rgb="FF212121"/>
        <rFont val="Consolas"/>
        <family val="3"/>
      </rPr>
      <t xml:space="preserve"> Student_Schedules ss</t>
    </r>
  </si>
  <si>
    <r>
      <t>on</t>
    </r>
    <r>
      <rPr>
        <sz val="9"/>
        <color rgb="FF212121"/>
        <rFont val="Consolas"/>
        <family val="3"/>
      </rPr>
      <t xml:space="preserve"> s.StudentID </t>
    </r>
    <r>
      <rPr>
        <sz val="9"/>
        <color rgb="FF000000"/>
        <rFont val="Consolas"/>
        <family val="3"/>
      </rPr>
      <t>=</t>
    </r>
    <r>
      <rPr>
        <sz val="9"/>
        <color rgb="FF212121"/>
        <rFont val="Consolas"/>
        <family val="3"/>
      </rPr>
      <t xml:space="preserve"> ss.StudentID</t>
    </r>
  </si>
  <si>
    <r>
      <t>inner join</t>
    </r>
    <r>
      <rPr>
        <sz val="9"/>
        <color rgb="FF212121"/>
        <rFont val="Consolas"/>
        <family val="3"/>
      </rPr>
      <t xml:space="preserve"> Student_Class_Status scs</t>
    </r>
  </si>
  <si>
    <r>
      <t>on</t>
    </r>
    <r>
      <rPr>
        <sz val="9"/>
        <color rgb="FF212121"/>
        <rFont val="Consolas"/>
        <family val="3"/>
      </rPr>
      <t xml:space="preserve"> ss.ClassStatus </t>
    </r>
    <r>
      <rPr>
        <sz val="9"/>
        <color rgb="FF000000"/>
        <rFont val="Consolas"/>
        <family val="3"/>
      </rPr>
      <t>=</t>
    </r>
    <r>
      <rPr>
        <sz val="9"/>
        <color rgb="FF212121"/>
        <rFont val="Consolas"/>
        <family val="3"/>
      </rPr>
      <t xml:space="preserve"> scs.ClassStatus</t>
    </r>
  </si>
  <si>
    <r>
      <t>where</t>
    </r>
    <r>
      <rPr>
        <sz val="9"/>
        <color rgb="FF212121"/>
        <rFont val="Consolas"/>
        <family val="3"/>
      </rPr>
      <t xml:space="preserve"> m.MajorID </t>
    </r>
    <r>
      <rPr>
        <sz val="9"/>
        <color rgb="FF000000"/>
        <rFont val="Consolas"/>
        <family val="3"/>
      </rPr>
      <t>=</t>
    </r>
    <r>
      <rPr>
        <sz val="9"/>
        <color rgb="FF212121"/>
        <rFont val="Consolas"/>
        <family val="3"/>
      </rPr>
      <t xml:space="preserve"> </t>
    </r>
    <r>
      <rPr>
        <sz val="9"/>
        <color rgb="FF09885A"/>
        <rFont val="Consolas"/>
        <family val="3"/>
      </rPr>
      <t>4</t>
    </r>
  </si>
  <si>
    <r>
      <t>and</t>
    </r>
    <r>
      <rPr>
        <sz val="9"/>
        <color rgb="FF212121"/>
        <rFont val="Consolas"/>
        <family val="3"/>
      </rPr>
      <t xml:space="preserve"> scs.ClassStatusDescription </t>
    </r>
    <r>
      <rPr>
        <sz val="9"/>
        <color rgb="FF000000"/>
        <rFont val="Consolas"/>
        <family val="3"/>
      </rPr>
      <t>=</t>
    </r>
    <r>
      <rPr>
        <sz val="9"/>
        <color rgb="FF212121"/>
        <rFont val="Consolas"/>
        <family val="3"/>
      </rPr>
      <t xml:space="preserve"> </t>
    </r>
    <r>
      <rPr>
        <sz val="9"/>
        <color rgb="FFA31515"/>
        <rFont val="Consolas"/>
        <family val="3"/>
      </rPr>
      <t>'Completed'</t>
    </r>
  </si>
  <si>
    <r>
      <t>ORDER BY</t>
    </r>
    <r>
      <rPr>
        <sz val="9"/>
        <color rgb="FF212121"/>
        <rFont val="Consolas"/>
        <family val="3"/>
      </rPr>
      <t xml:space="preserve"> s.StudLastName</t>
    </r>
  </si>
  <si>
    <t>Question2 - N3:N13</t>
  </si>
  <si>
    <t>Select s.StudentID, CONCAT(s.StudFirstName, ' ', s.StudLastName) as studentName, ss.Grade, scs.ClassStatusDescription</t>
  </si>
  <si>
    <t>studentName</t>
  </si>
  <si>
    <t>Question2 - A5:D15</t>
  </si>
  <si>
    <r>
      <t>inner join</t>
    </r>
    <r>
      <rPr>
        <sz val="9"/>
        <color rgb="FF212121"/>
        <rFont val="Consolas"/>
        <family val="3"/>
      </rPr>
      <t xml:space="preserve"> Classes c</t>
    </r>
  </si>
  <si>
    <r>
      <t>on</t>
    </r>
    <r>
      <rPr>
        <sz val="9"/>
        <color rgb="FF212121"/>
        <rFont val="Consolas"/>
        <family val="3"/>
      </rPr>
      <t xml:space="preserve"> ss.ClassID </t>
    </r>
    <r>
      <rPr>
        <sz val="9"/>
        <color rgb="FF000000"/>
        <rFont val="Consolas"/>
        <family val="3"/>
      </rPr>
      <t>=</t>
    </r>
    <r>
      <rPr>
        <sz val="9"/>
        <color rgb="FF212121"/>
        <rFont val="Consolas"/>
        <family val="3"/>
      </rPr>
      <t xml:space="preserve"> c.ClassID</t>
    </r>
  </si>
  <si>
    <r>
      <t>inner join</t>
    </r>
    <r>
      <rPr>
        <sz val="9"/>
        <color rgb="FF212121"/>
        <rFont val="Consolas"/>
        <family val="3"/>
      </rPr>
      <t xml:space="preserve"> Subjects su</t>
    </r>
  </si>
  <si>
    <r>
      <t>on</t>
    </r>
    <r>
      <rPr>
        <sz val="9"/>
        <color rgb="FF212121"/>
        <rFont val="Consolas"/>
        <family val="3"/>
      </rPr>
      <t xml:space="preserve"> c.SubjectID </t>
    </r>
    <r>
      <rPr>
        <sz val="9"/>
        <color rgb="FF000000"/>
        <rFont val="Consolas"/>
        <family val="3"/>
      </rPr>
      <t>=</t>
    </r>
    <r>
      <rPr>
        <sz val="9"/>
        <color rgb="FF212121"/>
        <rFont val="Consolas"/>
        <family val="3"/>
      </rPr>
      <t xml:space="preserve"> su.SubjectID</t>
    </r>
  </si>
  <si>
    <r>
      <t>WHERE</t>
    </r>
    <r>
      <rPr>
        <sz val="9"/>
        <color rgb="FF212121"/>
        <rFont val="Consolas"/>
        <family val="3"/>
      </rPr>
      <t xml:space="preserve"> su.SubjectCode </t>
    </r>
    <r>
      <rPr>
        <sz val="9"/>
        <color rgb="FF0000FF"/>
        <rFont val="Consolas"/>
        <family val="3"/>
      </rPr>
      <t>like</t>
    </r>
    <r>
      <rPr>
        <sz val="9"/>
        <color rgb="FF212121"/>
        <rFont val="Consolas"/>
        <family val="3"/>
      </rPr>
      <t xml:space="preserve"> </t>
    </r>
    <r>
      <rPr>
        <sz val="9"/>
        <color rgb="FFA31515"/>
        <rFont val="Consolas"/>
        <family val="3"/>
      </rPr>
      <t>'%CIS%'</t>
    </r>
  </si>
  <si>
    <t>Question3 - N4:N12</t>
  </si>
  <si>
    <t>Select s.StudentID, CONCAT(s.StudFirstName, ' ', s.StudLastName) as studentName, s.StudGender, su.SubjectCode, c.StartDate</t>
  </si>
  <si>
    <t>StudGender</t>
  </si>
  <si>
    <t>StartDate</t>
  </si>
  <si>
    <t>Question3 - A5:E11</t>
  </si>
  <si>
    <r>
      <t>Select</t>
    </r>
    <r>
      <rPr>
        <sz val="9"/>
        <color rgb="FF212121"/>
        <rFont val="Consolas"/>
        <family val="3"/>
      </rPr>
      <t xml:space="preserve"> f.Title, s.StfFirstName, s.StfLastName, f.Status, f.Tenured</t>
    </r>
  </si>
  <si>
    <r>
      <t>from</t>
    </r>
    <r>
      <rPr>
        <sz val="9"/>
        <color rgb="FF212121"/>
        <rFont val="Consolas"/>
        <family val="3"/>
      </rPr>
      <t xml:space="preserve"> Staff s</t>
    </r>
  </si>
  <si>
    <r>
      <t>left join</t>
    </r>
    <r>
      <rPr>
        <sz val="9"/>
        <color rgb="FF212121"/>
        <rFont val="Consolas"/>
        <family val="3"/>
      </rPr>
      <t xml:space="preserve"> Faculty f</t>
    </r>
  </si>
  <si>
    <r>
      <t>on</t>
    </r>
    <r>
      <rPr>
        <sz val="9"/>
        <color rgb="FF212121"/>
        <rFont val="Consolas"/>
        <family val="3"/>
      </rPr>
      <t xml:space="preserve"> s.StaffID </t>
    </r>
    <r>
      <rPr>
        <sz val="9"/>
        <color rgb="FF000000"/>
        <rFont val="Consolas"/>
        <family val="3"/>
      </rPr>
      <t>=</t>
    </r>
    <r>
      <rPr>
        <sz val="9"/>
        <color rgb="FF212121"/>
        <rFont val="Consolas"/>
        <family val="3"/>
      </rPr>
      <t xml:space="preserve"> f.StaffID</t>
    </r>
  </si>
  <si>
    <r>
      <t>WHERE</t>
    </r>
    <r>
      <rPr>
        <sz val="9"/>
        <color rgb="FF212121"/>
        <rFont val="Consolas"/>
        <family val="3"/>
      </rPr>
      <t xml:space="preserve"> f.Status </t>
    </r>
    <r>
      <rPr>
        <sz val="9"/>
        <color rgb="FF000000"/>
        <rFont val="Consolas"/>
        <family val="3"/>
      </rPr>
      <t>=</t>
    </r>
    <r>
      <rPr>
        <sz val="9"/>
        <color rgb="FF212121"/>
        <rFont val="Consolas"/>
        <family val="3"/>
      </rPr>
      <t xml:space="preserve"> </t>
    </r>
    <r>
      <rPr>
        <sz val="9"/>
        <color rgb="FFA31515"/>
        <rFont val="Consolas"/>
        <family val="3"/>
      </rPr>
      <t>'Full Time'</t>
    </r>
  </si>
  <si>
    <r>
      <t>order by</t>
    </r>
    <r>
      <rPr>
        <sz val="9"/>
        <color rgb="FF212121"/>
        <rFont val="Consolas"/>
        <family val="3"/>
      </rPr>
      <t xml:space="preserve"> s.StfLastName</t>
    </r>
  </si>
  <si>
    <t>Question4 - N3:N8</t>
  </si>
  <si>
    <t>Select f.Title, s.StfFirstName, s.StfLastName, f.Status, f.Tenured</t>
  </si>
  <si>
    <t>Title</t>
  </si>
  <si>
    <t>StfLastName</t>
  </si>
  <si>
    <t>Status</t>
  </si>
  <si>
    <t>Tenured</t>
  </si>
  <si>
    <t>Professor</t>
  </si>
  <si>
    <t>Sam</t>
  </si>
  <si>
    <t>Abolrous</t>
  </si>
  <si>
    <t>Associate Professor</t>
  </si>
  <si>
    <t>Luke</t>
  </si>
  <si>
    <t>David</t>
  </si>
  <si>
    <t>Smith</t>
  </si>
  <si>
    <t>Wilson</t>
  </si>
  <si>
    <t>Question4 - A5:E27</t>
  </si>
  <si>
    <r>
      <t>WHERE</t>
    </r>
    <r>
      <rPr>
        <sz val="9"/>
        <color rgb="FF212121"/>
        <rFont val="Consolas"/>
        <family val="3"/>
      </rPr>
      <t xml:space="preserve"> s.StfState </t>
    </r>
    <r>
      <rPr>
        <sz val="9"/>
        <color rgb="FF000000"/>
        <rFont val="Consolas"/>
        <family val="3"/>
      </rPr>
      <t>=</t>
    </r>
    <r>
      <rPr>
        <sz val="9"/>
        <color rgb="FF212121"/>
        <rFont val="Consolas"/>
        <family val="3"/>
      </rPr>
      <t xml:space="preserve"> </t>
    </r>
    <r>
      <rPr>
        <sz val="9"/>
        <color rgb="FFA31515"/>
        <rFont val="Consolas"/>
        <family val="3"/>
      </rPr>
      <t>'WA'</t>
    </r>
  </si>
  <si>
    <t>Question5 - N3:N8</t>
  </si>
  <si>
    <t>Select s.StfFirstName, s.StfLastName, s.Position, s.StfCity , f.Status</t>
  </si>
  <si>
    <t>Position</t>
  </si>
  <si>
    <t>StfCity</t>
  </si>
  <si>
    <t>Question5 - A5:E18</t>
  </si>
  <si>
    <t>Question1 - A5:C10</t>
  </si>
  <si>
    <t>Question1 - O4:Q4</t>
  </si>
  <si>
    <t>Question1 - N4:Z9</t>
  </si>
  <si>
    <r>
      <t>SELECT</t>
    </r>
    <r>
      <rPr>
        <sz val="9"/>
        <color rgb="FF212121"/>
        <rFont val="Consolas"/>
        <family val="3"/>
      </rPr>
      <t xml:space="preserve"> s.SubjectCode, s.SubjectEstClassSize, c.CategoryDescription</t>
    </r>
  </si>
  <si>
    <t>SELECT s.SubjectCode, s.SubjectEstClassSize, c.CategoryDescription</t>
  </si>
  <si>
    <r>
      <t>SELECT</t>
    </r>
    <r>
      <rPr>
        <sz val="9"/>
        <color rgb="FF212121"/>
        <rFont val="Consolas"/>
        <family val="3"/>
      </rPr>
      <t xml:space="preserve"> </t>
    </r>
    <r>
      <rPr>
        <sz val="9"/>
        <color rgb="FF795E26"/>
        <rFont val="Consolas"/>
        <family val="3"/>
      </rPr>
      <t>CONCAT</t>
    </r>
    <r>
      <rPr>
        <sz val="9"/>
        <color rgb="FF212121"/>
        <rFont val="Consolas"/>
        <family val="3"/>
      </rPr>
      <t xml:space="preserve">(s.StudFirstName, </t>
    </r>
    <r>
      <rPr>
        <sz val="9"/>
        <color rgb="FFA31515"/>
        <rFont val="Consolas"/>
        <family val="3"/>
      </rPr>
      <t>' '</t>
    </r>
    <r>
      <rPr>
        <sz val="9"/>
        <color rgb="FF212121"/>
        <rFont val="Consolas"/>
        <family val="3"/>
      </rPr>
      <t xml:space="preserve">, s.StudLastName) </t>
    </r>
    <r>
      <rPr>
        <sz val="9"/>
        <color rgb="FF0000FF"/>
        <rFont val="Consolas"/>
        <family val="3"/>
      </rPr>
      <t>as</t>
    </r>
    <r>
      <rPr>
        <sz val="9"/>
        <color rgb="FF212121"/>
        <rFont val="Consolas"/>
        <family val="3"/>
      </rPr>
      <t xml:space="preserve"> fullName, s.StudCity </t>
    </r>
    <r>
      <rPr>
        <sz val="9"/>
        <color rgb="FF0000FF"/>
        <rFont val="Consolas"/>
        <family val="3"/>
      </rPr>
      <t>as</t>
    </r>
    <r>
      <rPr>
        <sz val="9"/>
        <color rgb="FF212121"/>
        <rFont val="Consolas"/>
        <family val="3"/>
      </rPr>
      <t xml:space="preserve"> City, s.StudState </t>
    </r>
    <r>
      <rPr>
        <sz val="9"/>
        <color rgb="FF0000FF"/>
        <rFont val="Consolas"/>
        <family val="3"/>
      </rPr>
      <t>as</t>
    </r>
    <r>
      <rPr>
        <sz val="9"/>
        <color rgb="FF212121"/>
        <rFont val="Consolas"/>
        <family val="3"/>
      </rPr>
      <t xml:space="preserve"> </t>
    </r>
    <r>
      <rPr>
        <sz val="9"/>
        <color rgb="FF0000FF"/>
        <rFont val="Consolas"/>
        <family val="3"/>
      </rPr>
      <t>State</t>
    </r>
    <r>
      <rPr>
        <sz val="9"/>
        <color rgb="FF212121"/>
        <rFont val="Consolas"/>
        <family val="3"/>
      </rPr>
      <t xml:space="preserve">, </t>
    </r>
    <r>
      <rPr>
        <sz val="9"/>
        <color rgb="FFA31515"/>
        <rFont val="Consolas"/>
        <family val="3"/>
      </rPr>
      <t>'Student'</t>
    </r>
    <r>
      <rPr>
        <sz val="9"/>
        <color rgb="FF212121"/>
        <rFont val="Consolas"/>
        <family val="3"/>
      </rPr>
      <t xml:space="preserve"> </t>
    </r>
    <r>
      <rPr>
        <sz val="9"/>
        <color rgb="FF0000FF"/>
        <rFont val="Consolas"/>
        <family val="3"/>
      </rPr>
      <t>as</t>
    </r>
    <r>
      <rPr>
        <sz val="9"/>
        <color rgb="FF212121"/>
        <rFont val="Consolas"/>
        <family val="3"/>
      </rPr>
      <t xml:space="preserve"> Stakeholder</t>
    </r>
  </si>
  <si>
    <r>
      <t>from</t>
    </r>
    <r>
      <rPr>
        <sz val="9"/>
        <color rgb="FF212121"/>
        <rFont val="Consolas"/>
        <family val="3"/>
      </rPr>
      <t xml:space="preserve"> Students s</t>
    </r>
  </si>
  <si>
    <t>UNION ALL</t>
  </si>
  <si>
    <r>
      <t>SELECT</t>
    </r>
    <r>
      <rPr>
        <sz val="9"/>
        <color rgb="FF212121"/>
        <rFont val="Consolas"/>
        <family val="3"/>
      </rPr>
      <t xml:space="preserve"> </t>
    </r>
    <r>
      <rPr>
        <sz val="9"/>
        <color rgb="FF795E26"/>
        <rFont val="Consolas"/>
        <family val="3"/>
      </rPr>
      <t>CONCAT</t>
    </r>
    <r>
      <rPr>
        <sz val="9"/>
        <color rgb="FF212121"/>
        <rFont val="Consolas"/>
        <family val="3"/>
      </rPr>
      <t xml:space="preserve">(st.StfFirstName, </t>
    </r>
    <r>
      <rPr>
        <sz val="9"/>
        <color rgb="FFA31515"/>
        <rFont val="Consolas"/>
        <family val="3"/>
      </rPr>
      <t>' '</t>
    </r>
    <r>
      <rPr>
        <sz val="9"/>
        <color rgb="FF212121"/>
        <rFont val="Consolas"/>
        <family val="3"/>
      </rPr>
      <t xml:space="preserve">, st.StfLastName) </t>
    </r>
    <r>
      <rPr>
        <sz val="9"/>
        <color rgb="FF0000FF"/>
        <rFont val="Consolas"/>
        <family val="3"/>
      </rPr>
      <t>as</t>
    </r>
    <r>
      <rPr>
        <sz val="9"/>
        <color rgb="FF212121"/>
        <rFont val="Consolas"/>
        <family val="3"/>
      </rPr>
      <t xml:space="preserve"> staffName, st.StfCity, st.StfState, </t>
    </r>
    <r>
      <rPr>
        <sz val="9"/>
        <color rgb="FFA31515"/>
        <rFont val="Consolas"/>
        <family val="3"/>
      </rPr>
      <t>'Staff'</t>
    </r>
    <r>
      <rPr>
        <sz val="9"/>
        <color rgb="FF212121"/>
        <rFont val="Consolas"/>
        <family val="3"/>
      </rPr>
      <t xml:space="preserve"> </t>
    </r>
    <r>
      <rPr>
        <sz val="9"/>
        <color rgb="FF0000FF"/>
        <rFont val="Consolas"/>
        <family val="3"/>
      </rPr>
      <t>as</t>
    </r>
    <r>
      <rPr>
        <sz val="9"/>
        <color rgb="FF212121"/>
        <rFont val="Consolas"/>
        <family val="3"/>
      </rPr>
      <t xml:space="preserve"> Stakeholder</t>
    </r>
  </si>
  <si>
    <r>
      <t>from</t>
    </r>
    <r>
      <rPr>
        <sz val="9"/>
        <color rgb="FF212121"/>
        <rFont val="Consolas"/>
        <family val="3"/>
      </rPr>
      <t xml:space="preserve"> Staff st</t>
    </r>
  </si>
  <si>
    <r>
      <t>ORDER BY</t>
    </r>
    <r>
      <rPr>
        <sz val="9"/>
        <color rgb="FF212121"/>
        <rFont val="Consolas"/>
        <family val="3"/>
      </rPr>
      <t xml:space="preserve"> </t>
    </r>
    <r>
      <rPr>
        <sz val="9"/>
        <color rgb="FF0000FF"/>
        <rFont val="Consolas"/>
        <family val="3"/>
      </rPr>
      <t>State</t>
    </r>
    <r>
      <rPr>
        <sz val="9"/>
        <color rgb="FF212121"/>
        <rFont val="Consolas"/>
        <family val="3"/>
      </rPr>
      <t>, City, fullName</t>
    </r>
  </si>
  <si>
    <t>Question6 - N3:N8</t>
  </si>
  <si>
    <t>SELECT CONCAT(s.StudFirstName, ' ', s.StudLastName) as fullName, s.StudCity as City, s.StudState as State, 'Student' as Stakeholder</t>
  </si>
  <si>
    <t>fullName</t>
  </si>
  <si>
    <t>State</t>
  </si>
  <si>
    <t>Stakeholder</t>
  </si>
  <si>
    <t>Staff</t>
  </si>
  <si>
    <t>Justin Bieber</t>
  </si>
  <si>
    <t>Hidden Hills</t>
  </si>
  <si>
    <t>Edward Van Halen</t>
  </si>
  <si>
    <t xml:space="preserve">Pasadena </t>
  </si>
  <si>
    <t>Jack White</t>
  </si>
  <si>
    <t>Detroit</t>
  </si>
  <si>
    <t>MI</t>
  </si>
  <si>
    <t>Taylor Swift</t>
  </si>
  <si>
    <t xml:space="preserve">West Reading </t>
  </si>
  <si>
    <t>PA</t>
  </si>
  <si>
    <t>Demi Lovato</t>
  </si>
  <si>
    <t>Beyoncé  Knowles</t>
  </si>
  <si>
    <t>Duff  McKagan</t>
  </si>
  <si>
    <t>Kurt Cobain</t>
  </si>
  <si>
    <t>Question6 - A5:D58</t>
  </si>
  <si>
    <t>Return a result set of faculty schedules for the year 2021.  Include all faculty, wheather they teach in 2014 or not.  Include their first and last name as InstructorName, SubjectCode, SubjectName and Startdate</t>
  </si>
  <si>
    <t>Question7 - A2</t>
  </si>
  <si>
    <t>Return a result set of faculty schedules for the year 2021.  Include all faculty, wheather they teach in 2021 or not.  Include their first and last name as InstructorName, SubjectCode, SubjectName and Startdate</t>
  </si>
  <si>
    <r>
      <t>select</t>
    </r>
    <r>
      <rPr>
        <sz val="9"/>
        <color rgb="FF212121"/>
        <rFont val="Consolas"/>
        <family val="3"/>
      </rPr>
      <t xml:space="preserve"> </t>
    </r>
    <r>
      <rPr>
        <sz val="9"/>
        <color rgb="FF795E26"/>
        <rFont val="Consolas"/>
        <family val="3"/>
      </rPr>
      <t>CONCAT</t>
    </r>
    <r>
      <rPr>
        <sz val="9"/>
        <color rgb="FF212121"/>
        <rFont val="Consolas"/>
        <family val="3"/>
      </rPr>
      <t xml:space="preserve">(st.StfFirstName, </t>
    </r>
    <r>
      <rPr>
        <sz val="9"/>
        <color rgb="FFA31515"/>
        <rFont val="Consolas"/>
        <family val="3"/>
      </rPr>
      <t>' '</t>
    </r>
    <r>
      <rPr>
        <sz val="9"/>
        <color rgb="FF212121"/>
        <rFont val="Consolas"/>
        <family val="3"/>
      </rPr>
      <t xml:space="preserve">, st.StfLastName) </t>
    </r>
    <r>
      <rPr>
        <sz val="9"/>
        <color rgb="FF0000FF"/>
        <rFont val="Consolas"/>
        <family val="3"/>
      </rPr>
      <t>as</t>
    </r>
    <r>
      <rPr>
        <sz val="9"/>
        <color rgb="FF212121"/>
        <rFont val="Consolas"/>
        <family val="3"/>
      </rPr>
      <t xml:space="preserve"> instructorName, su.SubjectCode, su.SubjectName, c.StartDate</t>
    </r>
  </si>
  <si>
    <r>
      <t>on</t>
    </r>
    <r>
      <rPr>
        <sz val="9"/>
        <color rgb="FF212121"/>
        <rFont val="Consolas"/>
        <family val="3"/>
      </rPr>
      <t xml:space="preserve"> st.StaffID </t>
    </r>
    <r>
      <rPr>
        <sz val="9"/>
        <color rgb="FF000000"/>
        <rFont val="Consolas"/>
        <family val="3"/>
      </rPr>
      <t>=</t>
    </r>
    <r>
      <rPr>
        <sz val="9"/>
        <color rgb="FF212121"/>
        <rFont val="Consolas"/>
        <family val="3"/>
      </rPr>
      <t xml:space="preserve"> f.StaffID</t>
    </r>
  </si>
  <si>
    <r>
      <t>left join</t>
    </r>
    <r>
      <rPr>
        <sz val="9"/>
        <color rgb="FF212121"/>
        <rFont val="Consolas"/>
        <family val="3"/>
      </rPr>
      <t xml:space="preserve"> Faculty_Classes fc</t>
    </r>
  </si>
  <si>
    <r>
      <t>on</t>
    </r>
    <r>
      <rPr>
        <sz val="9"/>
        <color rgb="FF212121"/>
        <rFont val="Consolas"/>
        <family val="3"/>
      </rPr>
      <t xml:space="preserve"> f.StaffID </t>
    </r>
    <r>
      <rPr>
        <sz val="9"/>
        <color rgb="FF000000"/>
        <rFont val="Consolas"/>
        <family val="3"/>
      </rPr>
      <t>=</t>
    </r>
    <r>
      <rPr>
        <sz val="9"/>
        <color rgb="FF212121"/>
        <rFont val="Consolas"/>
        <family val="3"/>
      </rPr>
      <t xml:space="preserve"> fc.StaffID</t>
    </r>
  </si>
  <si>
    <r>
      <t>left join</t>
    </r>
    <r>
      <rPr>
        <sz val="9"/>
        <color rgb="FF212121"/>
        <rFont val="Consolas"/>
        <family val="3"/>
      </rPr>
      <t xml:space="preserve"> Classes c </t>
    </r>
  </si>
  <si>
    <r>
      <t>on</t>
    </r>
    <r>
      <rPr>
        <sz val="9"/>
        <color rgb="FF212121"/>
        <rFont val="Consolas"/>
        <family val="3"/>
      </rPr>
      <t xml:space="preserve"> fc.ClassID </t>
    </r>
    <r>
      <rPr>
        <sz val="9"/>
        <color rgb="FF000000"/>
        <rFont val="Consolas"/>
        <family val="3"/>
      </rPr>
      <t>=</t>
    </r>
    <r>
      <rPr>
        <sz val="9"/>
        <color rgb="FF212121"/>
        <rFont val="Consolas"/>
        <family val="3"/>
      </rPr>
      <t xml:space="preserve"> c.ClassID</t>
    </r>
  </si>
  <si>
    <r>
      <t>left join</t>
    </r>
    <r>
      <rPr>
        <sz val="9"/>
        <color rgb="FF212121"/>
        <rFont val="Consolas"/>
        <family val="3"/>
      </rPr>
      <t xml:space="preserve"> Subjects su</t>
    </r>
  </si>
  <si>
    <r>
      <t>WHERE</t>
    </r>
    <r>
      <rPr>
        <sz val="9"/>
        <color rgb="FF212121"/>
        <rFont val="Consolas"/>
        <family val="3"/>
      </rPr>
      <t xml:space="preserve"> c.StartDate  </t>
    </r>
    <r>
      <rPr>
        <sz val="9"/>
        <color rgb="FF000000"/>
        <rFont val="Consolas"/>
        <family val="3"/>
      </rPr>
      <t>&gt;=</t>
    </r>
    <r>
      <rPr>
        <sz val="9"/>
        <color rgb="FF212121"/>
        <rFont val="Consolas"/>
        <family val="3"/>
      </rPr>
      <t xml:space="preserve"> </t>
    </r>
    <r>
      <rPr>
        <sz val="9"/>
        <color rgb="FFA31515"/>
        <rFont val="Consolas"/>
        <family val="3"/>
      </rPr>
      <t>'2021-01-01'</t>
    </r>
  </si>
  <si>
    <r>
      <t>AND</t>
    </r>
    <r>
      <rPr>
        <sz val="9"/>
        <color rgb="FF212121"/>
        <rFont val="Consolas"/>
        <family val="3"/>
      </rPr>
      <t xml:space="preserve"> c.StartDate </t>
    </r>
    <r>
      <rPr>
        <sz val="9"/>
        <color rgb="FF000000"/>
        <rFont val="Consolas"/>
        <family val="3"/>
      </rPr>
      <t>&lt;=</t>
    </r>
    <r>
      <rPr>
        <sz val="9"/>
        <color rgb="FF212121"/>
        <rFont val="Consolas"/>
        <family val="3"/>
      </rPr>
      <t xml:space="preserve"> </t>
    </r>
    <r>
      <rPr>
        <sz val="9"/>
        <color rgb="FFA31515"/>
        <rFont val="Consolas"/>
        <family val="3"/>
      </rPr>
      <t>'2021-12-30'</t>
    </r>
  </si>
  <si>
    <t>Question7 - N3:N14</t>
  </si>
  <si>
    <t>select CONCAT(st.StfFirstName, ' ', st.StfLastName) as instructorName, su.SubjectCode, su.SubjectName, c.StartDate</t>
  </si>
  <si>
    <t>instructorName</t>
  </si>
  <si>
    <t>Question7 - A5:D70</t>
  </si>
  <si>
    <t>Question4 - N7</t>
  </si>
  <si>
    <t>WHERE s.StfState = 'WA'</t>
  </si>
  <si>
    <t>Question5 - N3:U8</t>
  </si>
  <si>
    <r>
      <t>left join</t>
    </r>
    <r>
      <rPr>
        <sz val="9"/>
        <color rgb="FF212121"/>
        <rFont val="Consolas"/>
        <family val="3"/>
      </rPr>
      <t>(</t>
    </r>
    <r>
      <rPr>
        <sz val="9"/>
        <color rgb="FF0000FF"/>
        <rFont val="Consolas"/>
        <family val="3"/>
      </rPr>
      <t>Select</t>
    </r>
    <r>
      <rPr>
        <sz val="9"/>
        <color rgb="FF212121"/>
        <rFont val="Consolas"/>
        <family val="3"/>
      </rPr>
      <t xml:space="preserve"> f.StaffID, f.Status</t>
    </r>
  </si>
  <si>
    <r>
      <t>from</t>
    </r>
    <r>
      <rPr>
        <sz val="9"/>
        <color rgb="FF212121"/>
        <rFont val="Consolas"/>
        <family val="3"/>
      </rPr>
      <t xml:space="preserve"> Faculty f</t>
    </r>
  </si>
  <si>
    <r>
      <t>WHERE</t>
    </r>
    <r>
      <rPr>
        <sz val="9"/>
        <color rgb="FF212121"/>
        <rFont val="Consolas"/>
        <family val="3"/>
      </rPr>
      <t xml:space="preserve"> f.Status </t>
    </r>
    <r>
      <rPr>
        <sz val="9"/>
        <color rgb="FF000000"/>
        <rFont val="Consolas"/>
        <family val="3"/>
      </rPr>
      <t>=</t>
    </r>
    <r>
      <rPr>
        <sz val="9"/>
        <color rgb="FF212121"/>
        <rFont val="Consolas"/>
        <family val="3"/>
      </rPr>
      <t xml:space="preserve"> </t>
    </r>
    <r>
      <rPr>
        <sz val="9"/>
        <color rgb="FFA31515"/>
        <rFont val="Consolas"/>
        <family val="3"/>
      </rPr>
      <t>'Full Time'</t>
    </r>
    <r>
      <rPr>
        <sz val="9"/>
        <color rgb="FF212121"/>
        <rFont val="Consolas"/>
        <family val="3"/>
      </rPr>
      <t xml:space="preserve">) </t>
    </r>
    <r>
      <rPr>
        <sz val="9"/>
        <color rgb="FF0000FF"/>
        <rFont val="Consolas"/>
        <family val="3"/>
      </rPr>
      <t>as</t>
    </r>
    <r>
      <rPr>
        <sz val="9"/>
        <color rgb="FF212121"/>
        <rFont val="Consolas"/>
        <family val="3"/>
      </rPr>
      <t xml:space="preserve"> facultyStatus</t>
    </r>
  </si>
  <si>
    <r>
      <t>on</t>
    </r>
    <r>
      <rPr>
        <sz val="9"/>
        <color rgb="FF212121"/>
        <rFont val="Consolas"/>
        <family val="3"/>
      </rPr>
      <t xml:space="preserve"> facultyStatus.StaffID </t>
    </r>
    <r>
      <rPr>
        <sz val="9"/>
        <color rgb="FF000000"/>
        <rFont val="Consolas"/>
        <family val="3"/>
      </rPr>
      <t>=</t>
    </r>
    <r>
      <rPr>
        <sz val="9"/>
        <color rgb="FF212121"/>
        <rFont val="Consolas"/>
        <family val="3"/>
      </rPr>
      <t xml:space="preserve"> s.StaffID</t>
    </r>
  </si>
  <si>
    <t>Question5 - N3:N9</t>
  </si>
  <si>
    <t>Select s.StfFirstName, s.StfLastName, s.Position, s.StfCity, facultyStatus.Status, s.StfState</t>
  </si>
  <si>
    <r>
      <t>Select</t>
    </r>
    <r>
      <rPr>
        <sz val="9"/>
        <color rgb="FF212121"/>
        <rFont val="Consolas"/>
        <family val="3"/>
      </rPr>
      <t xml:space="preserve"> s.StfFirstName, s.StfLastName, s.Position, s.StfCity, facultyStatus.Status</t>
    </r>
  </si>
  <si>
    <t>Question5 - N3</t>
  </si>
  <si>
    <t>Select s.StfFirstName, s.StfLastName, s.Position, s.StfCity, facultyStatus.Status</t>
  </si>
  <si>
    <t>Tim</t>
  </si>
  <si>
    <t>Kathryn</t>
  </si>
  <si>
    <t>Katherine</t>
  </si>
  <si>
    <t>Ehrlich</t>
  </si>
  <si>
    <t>Joe</t>
  </si>
  <si>
    <t>Rosales III</t>
  </si>
  <si>
    <t>Question5 - A5:E22</t>
  </si>
  <si>
    <t>Question3 - N4:AA11</t>
  </si>
  <si>
    <t>Question3 - N12:Q12</t>
  </si>
  <si>
    <r>
      <t>Select</t>
    </r>
    <r>
      <rPr>
        <sz val="9"/>
        <color rgb="FF212121"/>
        <rFont val="Consolas"/>
        <family val="3"/>
      </rPr>
      <t xml:space="preserve"> s.StudentID, </t>
    </r>
    <r>
      <rPr>
        <sz val="9"/>
        <color rgb="FF795E26"/>
        <rFont val="Consolas"/>
        <family val="3"/>
      </rPr>
      <t>CONCAT</t>
    </r>
    <r>
      <rPr>
        <sz val="9"/>
        <color rgb="FF212121"/>
        <rFont val="Consolas"/>
        <family val="3"/>
      </rPr>
      <t xml:space="preserve">(s.StudFirstName, </t>
    </r>
    <r>
      <rPr>
        <sz val="9"/>
        <color rgb="FFA31515"/>
        <rFont val="Consolas"/>
        <family val="3"/>
      </rPr>
      <t>' '</t>
    </r>
    <r>
      <rPr>
        <sz val="9"/>
        <color rgb="FF212121"/>
        <rFont val="Consolas"/>
        <family val="3"/>
      </rPr>
      <t xml:space="preserve">, s.StudLastName) </t>
    </r>
    <r>
      <rPr>
        <sz val="9"/>
        <color rgb="FF0000FF"/>
        <rFont val="Consolas"/>
        <family val="3"/>
      </rPr>
      <t>as</t>
    </r>
    <r>
      <rPr>
        <sz val="9"/>
        <color rgb="FF212121"/>
        <rFont val="Consolas"/>
        <family val="3"/>
      </rPr>
      <t xml:space="preserve"> studentName, s.StudGender, su.SubjectCode, </t>
    </r>
    <r>
      <rPr>
        <sz val="9"/>
        <color rgb="FF795E26"/>
        <rFont val="Consolas"/>
        <family val="3"/>
      </rPr>
      <t>DATEDIFF</t>
    </r>
    <r>
      <rPr>
        <sz val="9"/>
        <color rgb="FF212121"/>
        <rFont val="Consolas"/>
        <family val="3"/>
      </rPr>
      <t>(</t>
    </r>
    <r>
      <rPr>
        <sz val="9"/>
        <color rgb="FF795E26"/>
        <rFont val="Consolas"/>
        <family val="3"/>
      </rPr>
      <t>year</t>
    </r>
    <r>
      <rPr>
        <sz val="9"/>
        <color rgb="FF212121"/>
        <rFont val="Consolas"/>
        <family val="3"/>
      </rPr>
      <t xml:space="preserve">, s.StudBirthDate, c.StartDate) </t>
    </r>
    <r>
      <rPr>
        <sz val="9"/>
        <color rgb="FF0000FF"/>
        <rFont val="Consolas"/>
        <family val="3"/>
      </rPr>
      <t>as</t>
    </r>
    <r>
      <rPr>
        <sz val="9"/>
        <color rgb="FF212121"/>
        <rFont val="Consolas"/>
        <family val="3"/>
      </rPr>
      <t xml:space="preserve"> Age,c.StartDate</t>
    </r>
  </si>
  <si>
    <t>Select s.StudentID, CONCAT(s.StudFirstName, ' ', s.StudLastName) as studentName, s.StudGender, su.SubjectCode, DATEDIFF(year, s.StudBirthDate, c.StartDate) as Age,c.StartDate</t>
  </si>
  <si>
    <t>Age</t>
  </si>
  <si>
    <t>Question3 - A5:F11</t>
  </si>
  <si>
    <t>Question3 - E6</t>
  </si>
  <si>
    <t>Question3 - E7</t>
  </si>
  <si>
    <t>Question3 - E8</t>
  </si>
  <si>
    <t>Question3 - D6</t>
  </si>
  <si>
    <t>Question7 - D6</t>
  </si>
  <si>
    <t>Cover Sheet - D6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</si>
</sst>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 #,##0_);_(* \(#,##0\);_(* &quot;-&quot;??_);_(@_)"/>
    <numFmt numFmtId="166" formatCode="m/d/yy\ h:mm;@"/>
    <numFmt numFmtId="167" formatCode="_(* #,##0.0000_);_(* \(#,##0.0000\);_(* &quot;-&quot;??_);_(@_)"/>
    <numFmt numFmtId="168" formatCode="0.000"/>
    <numFmt numFmtId="169" formatCode="yyyy/mm/dd;@"/>
  </numFmts>
  <fonts count="46"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0"/>
      <color rgb="FF000000"/>
      <name val="Times New Roman"/>
      <family val="1"/>
    </font>
    <font>
      <b/>
      <sz val="11"/>
      <name val="Calibri"/>
      <family val="2"/>
      <scheme val="minor"/>
    </font>
    <font>
      <b/>
      <sz val="15"/>
      <name val="Calibri"/>
      <family val="2"/>
      <scheme val="minor"/>
    </font>
    <font>
      <sz val="11"/>
      <name val="Symbol"/>
      <family val="1"/>
      <charset val="2"/>
    </font>
    <font>
      <sz val="7"/>
      <name val="Times New Roman"/>
      <family val="1"/>
    </font>
    <font>
      <b/>
      <sz val="11"/>
      <color theme="0"/>
      <name val="Calibri"/>
      <family val="2"/>
      <scheme val="minor"/>
    </font>
    <font>
      <sz val="11"/>
      <color theme="0"/>
      <name val="Calibri"/>
      <family val="2"/>
      <scheme val="minor"/>
    </font>
    <font>
      <b/>
      <sz val="11"/>
      <color rgb="FFFF0000"/>
      <name val="Calibri"/>
      <family val="2"/>
      <scheme val="minor"/>
    </font>
    <font>
      <sz val="11"/>
      <color rgb="FFFF0000"/>
      <name val="Calibri"/>
      <family val="2"/>
      <scheme val="minor"/>
    </font>
    <font>
      <b/>
      <sz val="14"/>
      <name val="Calibri"/>
      <family val="2"/>
      <scheme val="minor"/>
    </font>
    <font>
      <sz val="12"/>
      <color theme="1"/>
      <name val="Calibri"/>
      <family val="2"/>
      <scheme val="minor"/>
    </font>
    <font>
      <sz val="7"/>
      <color rgb="FF212121"/>
      <name val="Consolas"/>
      <family val="3"/>
    </font>
    <font>
      <sz val="7"/>
      <color rgb="FF0000FF"/>
      <name val="Consolas"/>
      <family val="3"/>
    </font>
    <font>
      <sz val="10"/>
      <color theme="1"/>
      <name val="Calibri"/>
      <family val="2"/>
      <scheme val="minor"/>
    </font>
    <font>
      <sz val="7"/>
      <color rgb="FF795E26"/>
      <name val="Consolas"/>
      <family val="3"/>
    </font>
    <font>
      <sz val="12"/>
      <color rgb="FF212121"/>
      <name val="Calibri"/>
      <family val="2"/>
    </font>
    <font>
      <sz val="9"/>
      <color rgb="FF212121"/>
      <name val="Calibri"/>
      <family val="2"/>
    </font>
    <font>
      <sz val="11"/>
      <color rgb="FF212121"/>
      <name val="Calibri"/>
      <family val="2"/>
      <scheme val="minor"/>
    </font>
    <font>
      <sz val="14"/>
      <color rgb="FF0000FF"/>
      <name val="Consolas"/>
      <family val="3"/>
    </font>
    <font>
      <sz val="14"/>
      <color rgb="FF212121"/>
      <name val="Consolas"/>
      <family val="3"/>
    </font>
    <font>
      <sz val="14"/>
      <color rgb="FF000000"/>
      <name val="Consolas"/>
      <family val="3"/>
    </font>
    <font>
      <sz val="14"/>
      <color rgb="FFA31515"/>
      <name val="Consolas"/>
      <family val="3"/>
    </font>
    <font>
      <sz val="22"/>
      <color rgb="FF0000FF"/>
      <name val="Consolas"/>
      <family val="3"/>
    </font>
    <font>
      <sz val="22"/>
      <color rgb="FF212121"/>
      <name val="Consolas"/>
      <family val="3"/>
    </font>
    <font>
      <sz val="22"/>
      <color rgb="FFA31515"/>
      <name val="Consolas"/>
      <family val="3"/>
    </font>
    <font>
      <sz val="16"/>
      <color rgb="FF0000FF"/>
      <name val="Consolas"/>
      <family val="3"/>
    </font>
    <font>
      <sz val="16"/>
      <color rgb="FF212121"/>
      <name val="Consolas"/>
      <family val="3"/>
    </font>
    <font>
      <sz val="16"/>
      <color rgb="FF000000"/>
      <name val="Consolas"/>
      <family val="3"/>
    </font>
    <font>
      <sz val="16"/>
      <color rgb="FFA31515"/>
      <name val="Consolas"/>
      <family val="3"/>
    </font>
    <font>
      <sz val="20"/>
      <color rgb="FF0000FF"/>
      <name val="Consolas"/>
      <family val="3"/>
    </font>
    <font>
      <sz val="20"/>
      <color rgb="FF212121"/>
      <name val="Consolas"/>
      <family val="3"/>
    </font>
    <font>
      <sz val="20"/>
      <color rgb="FF000000"/>
      <name val="Consolas"/>
      <family val="3"/>
    </font>
    <font>
      <sz val="20"/>
      <color rgb="FFA31515"/>
      <name val="Consolas"/>
      <family val="3"/>
    </font>
    <font>
      <sz val="7"/>
      <color rgb="FF000000"/>
      <name val="Consolas"/>
      <family val="3"/>
    </font>
    <font>
      <sz val="7"/>
      <color rgb="FFA31515"/>
      <name val="Consolas"/>
      <family val="3"/>
    </font>
    <font>
      <sz val="7"/>
      <color rgb="FF09885A"/>
      <name val="Consolas"/>
      <family val="3"/>
    </font>
    <font>
      <sz val="9"/>
      <color rgb="FF212121"/>
      <name val="Consolas"/>
      <family val="3"/>
    </font>
    <font>
      <sz val="9"/>
      <color rgb="FF0000FF"/>
      <name val="Consolas"/>
      <family val="3"/>
    </font>
    <font>
      <sz val="9"/>
      <color rgb="FF000000"/>
      <name val="Consolas"/>
      <family val="3"/>
    </font>
    <font>
      <sz val="9"/>
      <color rgb="FFA31515"/>
      <name val="Consolas"/>
      <family val="3"/>
    </font>
    <font>
      <sz val="9"/>
      <color rgb="FF795E26"/>
      <name val="Consolas"/>
      <family val="3"/>
    </font>
    <font>
      <sz val="9"/>
      <color rgb="FF09885A"/>
      <name val="Consolas"/>
      <family val="3"/>
    </font>
  </fonts>
  <fills count="7">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theme="4" tint="0.39997558519241921"/>
      </left>
      <right/>
      <top style="thin">
        <color theme="4" tint="0.39997558519241921"/>
      </top>
      <bottom style="thin">
        <color theme="4" tint="0.39997558519241921"/>
      </bottom>
      <diagonal/>
    </border>
    <border>
      <left style="thin">
        <color auto="1"/>
      </left>
      <right/>
      <top/>
      <bottom/>
      <diagonal/>
    </border>
    <border>
      <left style="thin">
        <color auto="1"/>
      </left>
      <right/>
      <top/>
      <bottom style="thin">
        <color auto="1"/>
      </bottom>
      <diagonal/>
    </border>
    <border>
      <left style="thin">
        <color auto="1"/>
      </left>
      <right style="thin">
        <color auto="1"/>
      </right>
      <top/>
      <bottom style="thin">
        <color auto="1"/>
      </bottom>
      <diagonal/>
    </border>
  </borders>
  <cellStyleXfs count="4">
    <xf numFmtId="0" fontId="0" fillId="0" borderId="0"/>
    <xf numFmtId="164" fontId="2" fillId="0" borderId="0" applyFont="0" applyFill="0" applyBorder="0" applyAlignment="0" applyProtection="0"/>
    <xf numFmtId="0" fontId="2" fillId="0" borderId="0"/>
    <xf numFmtId="9" fontId="2" fillId="0" borderId="0" applyFont="0" applyFill="0" applyBorder="0" applyAlignment="0" applyProtection="0"/>
  </cellStyleXfs>
  <cellXfs count="163">
    <xf numFmtId="0" fontId="0" fillId="0" borderId="0" xfId="0"/>
    <xf numFmtId="0" fontId="2" fillId="0" borderId="0" xfId="2"/>
    <xf numFmtId="0" fontId="0" fillId="0" borderId="0" xfId="2" applyFont="1" applyFill="1"/>
    <xf numFmtId="0" fontId="0" fillId="0" borderId="0" xfId="2" applyFont="1"/>
    <xf numFmtId="0" fontId="2" fillId="0" borderId="0" xfId="2" applyFill="1"/>
    <xf numFmtId="0" fontId="1" fillId="0" borderId="0" xfId="0" applyFont="1"/>
    <xf numFmtId="166" fontId="0" fillId="0" borderId="0" xfId="0" applyNumberFormat="1"/>
    <xf numFmtId="1" fontId="0" fillId="0" borderId="0" xfId="0" applyNumberFormat="1"/>
    <xf numFmtId="0" fontId="4" fillId="2" borderId="12" xfId="0" applyFont="1" applyFill="1" applyBorder="1" applyAlignment="1">
      <alignment vertical="center"/>
    </xf>
    <xf numFmtId="0" fontId="4" fillId="2" borderId="12" xfId="0" applyFont="1" applyFill="1" applyBorder="1" applyAlignment="1">
      <alignment vertical="center" wrapText="1"/>
    </xf>
    <xf numFmtId="0" fontId="0" fillId="3" borderId="0" xfId="0" applyFill="1" applyAlignment="1"/>
    <xf numFmtId="0" fontId="3" fillId="2" borderId="0" xfId="0" applyFont="1" applyFill="1" applyBorder="1"/>
    <xf numFmtId="0" fontId="0" fillId="0" borderId="0" xfId="2" applyFont="1" applyBorder="1"/>
    <xf numFmtId="0" fontId="2" fillId="0" borderId="0" xfId="2" applyBorder="1"/>
    <xf numFmtId="0" fontId="0" fillId="3" borderId="0" xfId="2" applyFont="1" applyFill="1"/>
    <xf numFmtId="0" fontId="5" fillId="2" borderId="0" xfId="0" applyFont="1" applyFill="1" applyAlignment="1">
      <alignment horizontal="center" vertical="center"/>
    </xf>
    <xf numFmtId="0" fontId="3" fillId="2" borderId="0" xfId="0" applyFont="1" applyFill="1"/>
    <xf numFmtId="49" fontId="3" fillId="2" borderId="0" xfId="0" applyNumberFormat="1" applyFont="1" applyFill="1" applyProtection="1"/>
    <xf numFmtId="0" fontId="3" fillId="2" borderId="0" xfId="0" applyFont="1" applyFill="1" applyAlignment="1">
      <alignment horizontal="center" vertical="center"/>
    </xf>
    <xf numFmtId="0" fontId="6" fillId="2" borderId="0" xfId="0" applyFont="1" applyFill="1" applyAlignment="1">
      <alignment horizontal="center" vertical="center"/>
    </xf>
    <xf numFmtId="15" fontId="5" fillId="2" borderId="0" xfId="0" applyNumberFormat="1" applyFont="1" applyFill="1" applyAlignment="1">
      <alignment horizontal="center" vertical="center"/>
    </xf>
    <xf numFmtId="0" fontId="5" fillId="2" borderId="0" xfId="0" applyFont="1" applyFill="1" applyAlignment="1">
      <alignment vertical="center"/>
    </xf>
    <xf numFmtId="0" fontId="3" fillId="2" borderId="0" xfId="0" applyFont="1" applyFill="1" applyBorder="1" applyAlignment="1"/>
    <xf numFmtId="0" fontId="3" fillId="2" borderId="0" xfId="0" applyFont="1" applyFill="1" applyAlignment="1">
      <alignment vertical="center"/>
    </xf>
    <xf numFmtId="0" fontId="7" fillId="2" borderId="0" xfId="0" applyFont="1" applyFill="1" applyAlignment="1">
      <alignment horizontal="left" vertical="center" indent="4"/>
    </xf>
    <xf numFmtId="0" fontId="3" fillId="2" borderId="0" xfId="0" applyFont="1" applyFill="1" applyAlignment="1">
      <alignment horizontal="left" vertical="center" indent="4"/>
    </xf>
    <xf numFmtId="0" fontId="5" fillId="2" borderId="11"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center" vertical="center" wrapText="1"/>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0" xfId="0" applyFont="1" applyFill="1" applyBorder="1" applyAlignment="1">
      <alignment vertical="center"/>
    </xf>
    <xf numFmtId="0" fontId="3" fillId="2" borderId="5" xfId="0" applyFont="1" applyFill="1" applyBorder="1"/>
    <xf numFmtId="0" fontId="3" fillId="2" borderId="13" xfId="0" applyFont="1" applyFill="1" applyBorder="1"/>
    <xf numFmtId="0" fontId="7" fillId="2" borderId="6" xfId="0" applyFont="1" applyFill="1" applyBorder="1" applyAlignment="1">
      <alignment horizontal="left" vertical="center" indent="4"/>
    </xf>
    <xf numFmtId="0" fontId="7" fillId="2" borderId="9" xfId="0" applyFont="1" applyFill="1" applyBorder="1" applyAlignment="1">
      <alignment horizontal="left" vertical="center" indent="4"/>
    </xf>
    <xf numFmtId="0" fontId="9" fillId="2" borderId="0" xfId="0" applyFont="1" applyFill="1" applyBorder="1"/>
    <xf numFmtId="0" fontId="9" fillId="2" borderId="0" xfId="0" applyFont="1" applyFill="1"/>
    <xf numFmtId="0" fontId="10" fillId="2" borderId="0" xfId="0" applyFont="1" applyFill="1" applyBorder="1"/>
    <xf numFmtId="0" fontId="10" fillId="2" borderId="0" xfId="0" applyFont="1" applyFill="1"/>
    <xf numFmtId="0" fontId="0" fillId="0" borderId="0" xfId="2" quotePrefix="1" applyFont="1"/>
    <xf numFmtId="0" fontId="3" fillId="2" borderId="0" xfId="0" applyFont="1" applyFill="1" applyProtection="1">
      <protection locked="0"/>
    </xf>
    <xf numFmtId="0" fontId="9" fillId="4" borderId="15" xfId="2" applyNumberFormat="1" applyFont="1" applyFill="1" applyBorder="1" applyAlignment="1"/>
    <xf numFmtId="0" fontId="0" fillId="5" borderId="15" xfId="2" applyNumberFormat="1" applyFont="1" applyFill="1" applyBorder="1" applyAlignment="1"/>
    <xf numFmtId="0" fontId="0" fillId="0" borderId="15" xfId="2" applyNumberFormat="1" applyFont="1" applyBorder="1" applyAlignment="1"/>
    <xf numFmtId="0" fontId="3" fillId="2" borderId="0" xfId="0" applyFont="1" applyFill="1" applyProtection="1"/>
    <xf numFmtId="0" fontId="11" fillId="2" borderId="0" xfId="0" applyFont="1" applyFill="1" applyBorder="1"/>
    <xf numFmtId="0" fontId="9" fillId="2" borderId="0" xfId="0" applyFont="1" applyFill="1" applyAlignment="1">
      <alignment wrapText="1"/>
    </xf>
    <xf numFmtId="0" fontId="9" fillId="2" borderId="0" xfId="0" applyFont="1" applyFill="1" applyBorder="1" applyAlignment="1">
      <alignment wrapText="1"/>
    </xf>
    <xf numFmtId="164" fontId="10" fillId="2" borderId="0" xfId="1" applyFont="1" applyFill="1" applyBorder="1"/>
    <xf numFmtId="164" fontId="10" fillId="2" borderId="0" xfId="1" applyFont="1" applyFill="1" applyAlignment="1">
      <alignment horizontal="center"/>
    </xf>
    <xf numFmtId="0" fontId="10" fillId="2" borderId="0" xfId="0" applyFont="1" applyFill="1" applyAlignment="1">
      <alignment horizontal="left"/>
    </xf>
    <xf numFmtId="0" fontId="10" fillId="2" borderId="0" xfId="0" applyFont="1" applyFill="1" applyBorder="1" applyAlignment="1">
      <alignment horizontal="right"/>
    </xf>
    <xf numFmtId="0" fontId="10" fillId="2" borderId="0" xfId="0" applyFont="1" applyFill="1" applyBorder="1" applyAlignment="1">
      <alignment horizontal="center"/>
    </xf>
    <xf numFmtId="0" fontId="10" fillId="2" borderId="0" xfId="0" applyFont="1" applyFill="1" applyBorder="1" applyAlignment="1">
      <alignment wrapText="1"/>
    </xf>
    <xf numFmtId="0" fontId="10" fillId="2" borderId="0" xfId="0" applyFont="1" applyFill="1" applyAlignment="1">
      <alignment horizontal="center"/>
    </xf>
    <xf numFmtId="164" fontId="10" fillId="2" borderId="0" xfId="1" applyFont="1" applyFill="1"/>
    <xf numFmtId="0" fontId="10" fillId="2" borderId="0" xfId="0" applyFont="1" applyFill="1" applyBorder="1" applyAlignment="1">
      <alignment horizontal="left"/>
    </xf>
    <xf numFmtId="165" fontId="10" fillId="2" borderId="0" xfId="1" applyNumberFormat="1" applyFont="1" applyFill="1" applyBorder="1"/>
    <xf numFmtId="164" fontId="10" fillId="2" borderId="0" xfId="1" applyNumberFormat="1" applyFont="1" applyFill="1" applyBorder="1"/>
    <xf numFmtId="16" fontId="10" fillId="2" borderId="0" xfId="0" applyNumberFormat="1" applyFont="1" applyFill="1"/>
    <xf numFmtId="3" fontId="10" fillId="2" borderId="0" xfId="0" applyNumberFormat="1" applyFont="1" applyFill="1" applyAlignment="1">
      <alignment horizontal="left"/>
    </xf>
    <xf numFmtId="39" fontId="10" fillId="2" borderId="0" xfId="0" applyNumberFormat="1" applyFont="1" applyFill="1" applyAlignment="1">
      <alignment horizontal="left"/>
    </xf>
    <xf numFmtId="3" fontId="10" fillId="2" borderId="0" xfId="0" applyNumberFormat="1" applyFont="1" applyFill="1"/>
    <xf numFmtId="165" fontId="10" fillId="2" borderId="0" xfId="1" applyNumberFormat="1" applyFont="1" applyFill="1"/>
    <xf numFmtId="37" fontId="10" fillId="2" borderId="0" xfId="0" applyNumberFormat="1" applyFont="1" applyFill="1"/>
    <xf numFmtId="164" fontId="10" fillId="2" borderId="0" xfId="0" applyNumberFormat="1" applyFont="1" applyFill="1"/>
    <xf numFmtId="10" fontId="10" fillId="2" borderId="0" xfId="0" applyNumberFormat="1" applyFont="1" applyFill="1"/>
    <xf numFmtId="167" fontId="10" fillId="2" borderId="0" xfId="0" applyNumberFormat="1" applyFont="1" applyFill="1"/>
    <xf numFmtId="0" fontId="10" fillId="2" borderId="10" xfId="0" applyFont="1" applyFill="1" applyBorder="1" applyAlignment="1">
      <alignment vertical="center"/>
    </xf>
    <xf numFmtId="0" fontId="9" fillId="2" borderId="10" xfId="0" applyFont="1" applyFill="1" applyBorder="1" applyAlignment="1">
      <alignment vertical="center"/>
    </xf>
    <xf numFmtId="0" fontId="3" fillId="2" borderId="0" xfId="0" applyFont="1" applyFill="1" applyBorder="1" applyAlignment="1">
      <alignment horizontal="left" wrapText="1"/>
    </xf>
    <xf numFmtId="2" fontId="3" fillId="2" borderId="0" xfId="0" applyNumberFormat="1" applyFont="1" applyFill="1" applyProtection="1">
      <protection locked="0"/>
    </xf>
    <xf numFmtId="0" fontId="3" fillId="0" borderId="0" xfId="0" applyFont="1"/>
    <xf numFmtId="0" fontId="5" fillId="2" borderId="4" xfId="0" applyFont="1" applyFill="1" applyBorder="1" applyAlignment="1" applyProtection="1">
      <alignment vertical="center"/>
      <protection locked="0"/>
    </xf>
    <xf numFmtId="11" fontId="3" fillId="2" borderId="0" xfId="0" applyNumberFormat="1" applyFont="1" applyFill="1" applyProtection="1">
      <protection locked="0"/>
    </xf>
    <xf numFmtId="0" fontId="12" fillId="2" borderId="0" xfId="0" applyFont="1" applyFill="1" applyBorder="1"/>
    <xf numFmtId="0" fontId="12" fillId="2" borderId="0" xfId="0" applyFont="1" applyFill="1"/>
    <xf numFmtId="0" fontId="11" fillId="2" borderId="0" xfId="0" applyFont="1" applyFill="1"/>
    <xf numFmtId="9" fontId="10" fillId="2" borderId="0" xfId="3" applyFont="1" applyFill="1"/>
    <xf numFmtId="0" fontId="12" fillId="2" borderId="0" xfId="0" applyFont="1" applyFill="1" applyBorder="1" applyAlignment="1">
      <alignment horizontal="right"/>
    </xf>
    <xf numFmtId="0" fontId="11" fillId="2" borderId="0" xfId="0" applyFont="1" applyFill="1" applyBorder="1" applyAlignment="1">
      <alignment horizontal="right"/>
    </xf>
    <xf numFmtId="0" fontId="12" fillId="2" borderId="0" xfId="0" applyFont="1" applyFill="1" applyBorder="1" applyAlignment="1">
      <alignment horizontal="left"/>
    </xf>
    <xf numFmtId="2" fontId="10" fillId="2" borderId="0" xfId="0" applyNumberFormat="1" applyFont="1" applyFill="1"/>
    <xf numFmtId="0" fontId="13" fillId="2" borderId="0" xfId="0" applyFont="1" applyFill="1" applyAlignment="1" applyProtection="1">
      <alignment horizontal="center" vertical="center"/>
      <protection locked="0"/>
    </xf>
    <xf numFmtId="0" fontId="0" fillId="6" borderId="0" xfId="0" applyFill="1"/>
    <xf numFmtId="0" fontId="12" fillId="0" borderId="0" xfId="0" applyFont="1"/>
    <xf numFmtId="0" fontId="11" fillId="0" borderId="0" xfId="0" applyFont="1"/>
    <xf numFmtId="0" fontId="14" fillId="0" borderId="0" xfId="0" applyFont="1"/>
    <xf numFmtId="0" fontId="16" fillId="0" borderId="0" xfId="0" applyFont="1" applyAlignment="1">
      <alignment vertical="center"/>
    </xf>
    <xf numFmtId="0" fontId="0" fillId="0" borderId="0" xfId="0" applyAlignment="1">
      <alignment wrapText="1"/>
    </xf>
    <xf numFmtId="2" fontId="0" fillId="0" borderId="0" xfId="0" applyNumberFormat="1"/>
    <xf numFmtId="14" fontId="0" fillId="0" borderId="0" xfId="0" applyNumberFormat="1"/>
    <xf numFmtId="0" fontId="15" fillId="0" borderId="0" xfId="0" applyFont="1" applyAlignment="1">
      <alignment vertical="center"/>
    </xf>
    <xf numFmtId="0" fontId="9" fillId="2" borderId="0" xfId="0" applyFont="1" applyFill="1" applyBorder="1" applyAlignment="1">
      <alignment vertical="center"/>
    </xf>
    <xf numFmtId="0" fontId="5" fillId="2" borderId="16" xfId="0" applyFont="1" applyFill="1" applyBorder="1" applyAlignment="1">
      <alignment horizontal="center" vertical="center"/>
    </xf>
    <xf numFmtId="0" fontId="5" fillId="2" borderId="17" xfId="0" applyFont="1" applyFill="1" applyBorder="1" applyAlignment="1">
      <alignment horizontal="center" vertical="center"/>
    </xf>
    <xf numFmtId="0" fontId="9" fillId="2" borderId="18" xfId="0" applyFont="1" applyFill="1" applyBorder="1" applyAlignment="1">
      <alignment vertical="center"/>
    </xf>
    <xf numFmtId="0" fontId="9" fillId="2" borderId="12" xfId="0" applyFont="1" applyFill="1" applyBorder="1" applyAlignment="1">
      <alignment vertical="center"/>
    </xf>
    <xf numFmtId="0" fontId="5" fillId="2" borderId="12" xfId="0" applyFont="1" applyFill="1" applyBorder="1" applyAlignment="1">
      <alignment horizontal="center" vertical="center"/>
    </xf>
    <xf numFmtId="2" fontId="9" fillId="2" borderId="12" xfId="0" applyNumberFormat="1" applyFont="1" applyFill="1" applyBorder="1" applyAlignment="1">
      <alignment vertical="center"/>
    </xf>
    <xf numFmtId="47" fontId="0" fillId="0" borderId="0" xfId="0" applyNumberFormat="1"/>
    <xf numFmtId="0" fontId="17" fillId="0" borderId="0" xfId="0" applyFont="1"/>
    <xf numFmtId="14" fontId="0" fillId="6" borderId="0" xfId="0" applyNumberFormat="1" applyFill="1"/>
    <xf numFmtId="168" fontId="0" fillId="0" borderId="0" xfId="0" applyNumberFormat="1"/>
    <xf numFmtId="2" fontId="1" fillId="2" borderId="14" xfId="0" applyNumberFormat="1" applyFont="1" applyFill="1" applyBorder="1" applyAlignment="1">
      <alignment vertical="center"/>
    </xf>
    <xf numFmtId="2" fontId="9" fillId="2" borderId="14" xfId="0" applyNumberFormat="1" applyFont="1" applyFill="1" applyBorder="1" applyAlignment="1">
      <alignment vertical="center"/>
    </xf>
    <xf numFmtId="2" fontId="0" fillId="2" borderId="10" xfId="0" applyNumberFormat="1" applyFont="1" applyFill="1" applyBorder="1" applyAlignment="1">
      <alignment horizontal="center" vertical="center"/>
    </xf>
    <xf numFmtId="0" fontId="0" fillId="2" borderId="1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8" xfId="0" applyFont="1" applyFill="1" applyBorder="1" applyAlignment="1">
      <alignment horizontal="center" vertical="center"/>
    </xf>
    <xf numFmtId="2" fontId="1" fillId="2" borderId="12"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169" fontId="0" fillId="0" borderId="0" xfId="0" applyNumberFormat="1"/>
    <xf numFmtId="0" fontId="18" fillId="0" borderId="0" xfId="0" applyFont="1" applyAlignment="1">
      <alignment vertical="center"/>
    </xf>
    <xf numFmtId="0" fontId="10" fillId="2" borderId="9" xfId="0" applyFont="1" applyFill="1" applyBorder="1"/>
    <xf numFmtId="0" fontId="10" fillId="2" borderId="8" xfId="0" applyFont="1" applyFill="1" applyBorder="1"/>
    <xf numFmtId="0" fontId="12" fillId="2" borderId="8" xfId="0" applyFont="1" applyFill="1" applyBorder="1"/>
    <xf numFmtId="0" fontId="12" fillId="2" borderId="10" xfId="0" applyFont="1" applyFill="1" applyBorder="1"/>
    <xf numFmtId="0" fontId="1" fillId="0" borderId="0" xfId="0" applyFont="1" applyAlignment="1">
      <alignment wrapText="1"/>
    </xf>
    <xf numFmtId="2" fontId="0" fillId="6" borderId="0" xfId="0" applyNumberFormat="1" applyFill="1"/>
    <xf numFmtId="2" fontId="16" fillId="0" borderId="0" xfId="0" applyNumberFormat="1" applyFont="1" applyAlignment="1">
      <alignment vertical="center"/>
    </xf>
    <xf numFmtId="1" fontId="0" fillId="6" borderId="0" xfId="0" applyNumberFormat="1" applyFill="1"/>
    <xf numFmtId="0" fontId="19" fillId="0" borderId="0" xfId="0" applyFont="1" applyAlignment="1">
      <alignment vertical="center" wrapText="1"/>
    </xf>
    <xf numFmtId="0" fontId="20" fillId="0" borderId="0" xfId="0" applyFont="1" applyAlignment="1">
      <alignment wrapText="1"/>
    </xf>
    <xf numFmtId="0" fontId="21" fillId="0" borderId="0" xfId="0" applyFont="1" applyAlignment="1">
      <alignment vertical="center" wrapText="1"/>
    </xf>
    <xf numFmtId="14" fontId="15" fillId="0" borderId="0" xfId="0" applyNumberFormat="1" applyFont="1" applyAlignment="1">
      <alignment vertical="center"/>
    </xf>
    <xf numFmtId="14" fontId="16" fillId="0" borderId="0" xfId="0" applyNumberFormat="1" applyFont="1" applyAlignment="1">
      <alignment vertical="center"/>
    </xf>
    <xf numFmtId="1" fontId="10" fillId="2" borderId="0" xfId="0" applyNumberFormat="1" applyFont="1" applyFill="1" applyProtection="1">
      <protection locked="0"/>
    </xf>
    <xf numFmtId="0" fontId="3" fillId="6" borderId="0" xfId="0" applyFont="1" applyFill="1" applyAlignment="1">
      <alignment vertical="center"/>
    </xf>
    <xf numFmtId="0" fontId="3" fillId="0" borderId="0" xfId="0" applyFont="1" applyAlignment="1">
      <alignment vertical="center"/>
    </xf>
    <xf numFmtId="2" fontId="5" fillId="2" borderId="14" xfId="0" applyNumberFormat="1" applyFont="1" applyFill="1" applyBorder="1" applyAlignment="1">
      <alignment vertical="center"/>
    </xf>
    <xf numFmtId="2" fontId="5" fillId="2" borderId="18" xfId="0" applyNumberFormat="1" applyFont="1" applyFill="1" applyBorder="1" applyAlignment="1">
      <alignment vertical="center"/>
    </xf>
    <xf numFmtId="2" fontId="5" fillId="2" borderId="12" xfId="0" applyNumberFormat="1" applyFont="1" applyFill="1" applyBorder="1" applyAlignment="1">
      <alignment vertical="center"/>
    </xf>
    <xf numFmtId="2" fontId="9" fillId="2" borderId="18" xfId="0" applyNumberFormat="1" applyFont="1" applyFill="1" applyBorder="1" applyAlignment="1">
      <alignment vertical="center"/>
    </xf>
    <xf numFmtId="0" fontId="22" fillId="0" borderId="0" xfId="0" applyFont="1" applyAlignment="1">
      <alignment vertical="center"/>
    </xf>
    <xf numFmtId="0" fontId="23" fillId="0" borderId="0" xfId="0" applyFont="1" applyAlignment="1">
      <alignment vertical="center"/>
    </xf>
    <xf numFmtId="0" fontId="26" fillId="0" borderId="0" xfId="0" applyFont="1" applyAlignment="1">
      <alignment vertical="center"/>
    </xf>
    <xf numFmtId="0" fontId="29" fillId="0" borderId="0" xfId="0" applyFont="1" applyAlignment="1">
      <alignment vertical="center"/>
    </xf>
    <xf numFmtId="0" fontId="30" fillId="0" borderId="0" xfId="0" applyFont="1" applyAlignment="1">
      <alignment vertical="center"/>
    </xf>
    <xf numFmtId="0" fontId="33" fillId="0" borderId="0" xfId="0" applyFont="1" applyAlignment="1">
      <alignment vertical="center"/>
    </xf>
    <xf numFmtId="0" fontId="34" fillId="0" borderId="0" xfId="0" applyFont="1" applyAlignment="1">
      <alignment vertical="center"/>
    </xf>
    <xf numFmtId="22" fontId="0" fillId="0" borderId="0" xfId="0" applyNumberFormat="1"/>
    <xf numFmtId="0" fontId="41" fillId="0" borderId="0" xfId="0" applyFont="1" applyAlignment="1">
      <alignment vertical="center"/>
    </xf>
    <xf numFmtId="0" fontId="3" fillId="3" borderId="1" xfId="0" applyFont="1" applyFill="1" applyBorder="1" applyAlignment="1" applyProtection="1">
      <alignment horizontal="center"/>
      <protection locked="0"/>
    </xf>
    <xf numFmtId="0" fontId="3" fillId="3" borderId="2" xfId="0" applyFont="1" applyFill="1" applyBorder="1" applyAlignment="1" applyProtection="1">
      <alignment horizontal="center"/>
      <protection locked="0"/>
    </xf>
    <xf numFmtId="0" fontId="3" fillId="3" borderId="3" xfId="0" applyFont="1" applyFill="1" applyBorder="1" applyAlignment="1" applyProtection="1">
      <alignment horizontal="center"/>
      <protection locked="0"/>
    </xf>
    <xf numFmtId="0" fontId="3" fillId="2" borderId="0" xfId="0" applyFont="1" applyFill="1" applyBorder="1" applyAlignment="1">
      <alignment horizontal="left" vertical="center" wrapText="1"/>
    </xf>
    <xf numFmtId="0" fontId="3" fillId="2" borderId="14" xfId="0" applyFont="1" applyFill="1" applyBorder="1" applyAlignment="1">
      <alignment horizontal="left" vertical="center" wrapText="1"/>
    </xf>
    <xf numFmtId="0" fontId="3" fillId="2" borderId="8" xfId="0" applyFont="1" applyFill="1" applyBorder="1" applyAlignment="1">
      <alignment horizontal="left" wrapText="1"/>
    </xf>
    <xf numFmtId="0" fontId="3" fillId="2" borderId="10" xfId="0" applyFont="1" applyFill="1" applyBorder="1" applyAlignment="1">
      <alignment horizontal="left" wrapText="1"/>
    </xf>
    <xf numFmtId="0" fontId="3" fillId="2" borderId="4" xfId="0" applyFont="1" applyFill="1" applyBorder="1" applyAlignment="1">
      <alignment wrapText="1"/>
    </xf>
    <xf numFmtId="0" fontId="0" fillId="0" borderId="5" xfId="0" applyBorder="1" applyAlignment="1"/>
    <xf numFmtId="0" fontId="0" fillId="0" borderId="13" xfId="0" applyBorder="1" applyAlignment="1"/>
    <xf numFmtId="0" fontId="0" fillId="0" borderId="6" xfId="0" applyBorder="1" applyAlignment="1"/>
    <xf numFmtId="0" fontId="0" fillId="0" borderId="0" xfId="0" applyBorder="1" applyAlignment="1"/>
    <xf numFmtId="0" fontId="0" fillId="0" borderId="14" xfId="0" applyBorder="1" applyAlignment="1"/>
    <xf numFmtId="0" fontId="14" fillId="0" borderId="0" xfId="0" applyFont="1" applyAlignment="1">
      <alignment wrapText="1"/>
    </xf>
    <xf numFmtId="0" fontId="0" fillId="0" borderId="0" xfId="0" applyAlignment="1"/>
    <xf numFmtId="0" fontId="0" fillId="0" borderId="0" xfId="0" applyAlignment="1">
      <alignment wrapText="1"/>
    </xf>
    <xf numFmtId="49" fontId="14" fillId="0" borderId="0" xfId="0" applyNumberFormat="1" applyFont="1" applyAlignment="1">
      <alignment wrapText="1"/>
    </xf>
    <xf numFmtId="49" fontId="0" fillId="0" borderId="0" xfId="0" applyNumberFormat="1" applyAlignment="1"/>
  </cellXfs>
  <cellStyles count="4">
    <cellStyle name="Comma" xfId="1" builtinId="3"/>
    <cellStyle name="Normal" xfId="0" builtinId="0"/>
    <cellStyle name="Normal 5" xfId="2" xr:uid="{15DE99FD-C6B9-43CC-B9D4-5A314A617C5B}"/>
    <cellStyle name="Percent" xfId="3" builtinId="5"/>
  </cellStyles>
  <dxfs count="0"/>
  <tableStyles count="1" defaultTableStyle="TableStyleMedium2" defaultPivotStyle="PivotStyleLight16">
    <tableStyle name="Invisible" pivot="0" table="0" count="0" xr9:uid="{B6B379F8-DB15-49C6-94E3-F958EE809745}"/>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669650</xdr:colOff>
      <xdr:row>2</xdr:row>
      <xdr:rowOff>85726</xdr:rowOff>
    </xdr:from>
    <xdr:to>
      <xdr:col>5</xdr:col>
      <xdr:colOff>485361</xdr:colOff>
      <xdr:row>5</xdr:row>
      <xdr:rowOff>170623</xdr:rowOff>
    </xdr:to>
    <xdr:pic macro="[0]!unLockExamSheets">
      <xdr:nvPicPr>
        <xdr:cNvPr id="2" name="Picture 6" descr="logo_JR-Shaw (3)">
          <a:extLst>
            <a:ext uri="{FF2B5EF4-FFF2-40B4-BE49-F238E27FC236}">
              <a16:creationId xmlns:a16="http://schemas.microsoft.com/office/drawing/2014/main" id="{674F9634-9B1B-424C-B1CD-8BDD35A769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4650" y="466726"/>
          <a:ext cx="1958836" cy="7135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28575</xdr:colOff>
      <xdr:row>3</xdr:row>
      <xdr:rowOff>104775</xdr:rowOff>
    </xdr:from>
    <xdr:to>
      <xdr:col>11</xdr:col>
      <xdr:colOff>533400</xdr:colOff>
      <xdr:row>5</xdr:row>
      <xdr:rowOff>131445</xdr:rowOff>
    </xdr:to>
    <xdr:pic macro="[0]!AccessAdminPanelMacro">
      <xdr:nvPicPr>
        <xdr:cNvPr id="5" name="Graphic 1" descr="Bar graph with upward trend">
          <a:extLst>
            <a:ext uri="{FF2B5EF4-FFF2-40B4-BE49-F238E27FC236}">
              <a16:creationId xmlns:a16="http://schemas.microsoft.com/office/drawing/2014/main" id="{3277EFA5-1131-4DFE-AE92-3545C5D7D995}"/>
            </a:ext>
          </a:extLst>
        </xdr:cNvPr>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829800" y="676275"/>
          <a:ext cx="504825" cy="50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573405</xdr:colOff>
      <xdr:row>9</xdr:row>
      <xdr:rowOff>154305</xdr:rowOff>
    </xdr:from>
    <xdr:to>
      <xdr:col>11</xdr:col>
      <xdr:colOff>340995</xdr:colOff>
      <xdr:row>28</xdr:row>
      <xdr:rowOff>85725</xdr:rowOff>
    </xdr:to>
    <xdr:pic>
      <xdr:nvPicPr>
        <xdr:cNvPr id="2" name="Picture 1">
          <a:extLst>
            <a:ext uri="{FF2B5EF4-FFF2-40B4-BE49-F238E27FC236}">
              <a16:creationId xmlns:a16="http://schemas.microsoft.com/office/drawing/2014/main" id="{D3A31F69-7464-4AD6-AEE5-CC2ABBDC37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79080" y="3316605"/>
          <a:ext cx="2901315" cy="3550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C7B26C-3D4E-4EC4-92CB-4871CECE2E54}" name="Table4" displayName="Table4" ref="A1:F34" totalsRowShown="0" headerRowCellStyle="Normal 5" dataCellStyle="Normal 5">
  <autoFilter ref="A1:F34" xr:uid="{744170B5-9E13-4516-BA6A-93AE0564F7B2}"/>
  <sortState xmlns:xlrd2="http://schemas.microsoft.com/office/spreadsheetml/2017/richdata2" ref="A2:F34">
    <sortCondition ref="A2:A34"/>
  </sortState>
  <tableColumns count="6">
    <tableColumn id="1" xr3:uid="{08CC3705-D7CF-47C9-A6CA-0E768BC6C16D}" name="Account List" dataCellStyle="Normal 5"/>
    <tableColumn id="2" xr3:uid="{C77D36CB-4177-427C-A970-02DEA0BAAF59}" name="Type " dataCellStyle="Normal 5"/>
    <tableColumn id="3" xr3:uid="{4C412E9B-4CB4-4EF1-82F4-33B1C835F246}" name="Increase Decrease" dataCellStyle="Normal 5"/>
    <tableColumn id="4" xr3:uid="{62D12FE0-2B46-4C97-909E-BF5A98074EAF}" name="Debit Credit" dataCellStyle="Normal 5"/>
    <tableColumn id="5" xr3:uid="{5707AC10-599C-4774-B977-E5CB577E539F}" name="Better/Worse" dataCellStyle="Normal 5"/>
    <tableColumn id="6" xr3:uid="{50D83511-BB03-42D8-9AD3-9A7D818599E3}" name="Column1" dataCellStyle="Normal 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00709-1898-497E-BD4C-79F1795974AE}">
  <sheetPr codeName="Sheet12"/>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C09B-0944-4D41-93A9-1B4BAE62B6E8}">
  <sheetPr codeName="Sheet17"/>
  <dimension ref="B1:E10"/>
  <sheetViews>
    <sheetView workbookViewId="0">
      <selection activeCell="D3" sqref="D3"/>
    </sheetView>
  </sheetViews>
  <sheetFormatPr defaultRowHeight="15" x14ac:dyDescent="0.25"/>
  <sheetData>
    <row r="1" spans="2:5" ht="15.75" thickBot="1" x14ac:dyDescent="0.3"/>
    <row r="2" spans="2:5" ht="45.75" thickBot="1" x14ac:dyDescent="0.3">
      <c r="B2" s="26" t="s">
        <v>113</v>
      </c>
      <c r="C2" s="27"/>
      <c r="D2" s="28" t="s">
        <v>51</v>
      </c>
      <c r="E2" s="28" t="s">
        <v>52</v>
      </c>
    </row>
    <row r="3" spans="2:5" ht="15.75" thickBot="1" x14ac:dyDescent="0.3">
      <c r="B3" s="29">
        <v>1</v>
      </c>
      <c r="C3" s="132"/>
      <c r="D3" s="108">
        <f>Answer1!A2</f>
        <v>2.5</v>
      </c>
      <c r="E3" s="30">
        <v>10</v>
      </c>
    </row>
    <row r="4" spans="2:5" ht="15.75" thickBot="1" x14ac:dyDescent="0.3">
      <c r="B4" s="29">
        <v>2</v>
      </c>
      <c r="C4" s="132"/>
      <c r="D4" s="109">
        <f>Answer2!A1</f>
        <v>4.0000009536743164</v>
      </c>
      <c r="E4" s="30">
        <v>10</v>
      </c>
    </row>
    <row r="5" spans="2:5" ht="15.75" thickBot="1" x14ac:dyDescent="0.3">
      <c r="B5" s="29">
        <v>3</v>
      </c>
      <c r="C5" s="132"/>
      <c r="D5" s="109">
        <f>Answer3!A1</f>
        <v>6.9047627449035645</v>
      </c>
      <c r="E5" s="30">
        <v>10</v>
      </c>
    </row>
    <row r="6" spans="2:5" ht="15.75" thickBot="1" x14ac:dyDescent="0.3">
      <c r="B6" s="29">
        <v>4</v>
      </c>
      <c r="C6" s="132"/>
      <c r="D6" s="109">
        <f>Answer4!A2</f>
        <v>4.9090909957885742</v>
      </c>
      <c r="E6" s="30">
        <v>10</v>
      </c>
    </row>
    <row r="7" spans="2:5" ht="15.75" thickBot="1" x14ac:dyDescent="0.3">
      <c r="B7" s="29">
        <v>5</v>
      </c>
      <c r="C7" s="132"/>
      <c r="D7" s="109">
        <f>Answer5!A2</f>
        <v>3.8571422100067139</v>
      </c>
      <c r="E7" s="30">
        <v>10</v>
      </c>
    </row>
    <row r="8" spans="2:5" ht="15.75" thickBot="1" x14ac:dyDescent="0.3">
      <c r="B8" s="29">
        <v>6</v>
      </c>
      <c r="C8" s="132"/>
      <c r="D8" s="110">
        <f>Answer6!A2</f>
        <v>2.8260865211486816</v>
      </c>
      <c r="E8" s="30">
        <v>10</v>
      </c>
    </row>
    <row r="9" spans="2:5" ht="15.75" thickBot="1" x14ac:dyDescent="0.3">
      <c r="B9" s="96">
        <v>7</v>
      </c>
      <c r="C9" s="133"/>
      <c r="D9" s="111">
        <f>Answer7!A2</f>
        <v>0.59859156608581543</v>
      </c>
      <c r="E9" s="30">
        <v>10</v>
      </c>
    </row>
    <row r="10" spans="2:5" x14ac:dyDescent="0.25">
      <c r="B10" s="97" t="s">
        <v>167</v>
      </c>
      <c r="C10" s="134"/>
      <c r="D10" s="112">
        <f>SUM(D3:D9)</f>
        <v>25.595674991607666</v>
      </c>
      <c r="E10" s="100">
        <f>SUM(E3:E9)</f>
        <v>70</v>
      </c>
    </row>
  </sheetData>
  <sheetProtection algorithmName="SHA-512" hashValue="tvSZEYJKG6TKCXMEn4d179gVnmhSvRlkOTiTiw1FX5+B8OkfZXQjnWA47jJX1dCS2xsKZ69P+RRO9a9lbXwFEA==" saltValue="acD7QwMA6sZ/4kVgMuczMg=="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AFFCE-817D-4C8C-B513-A9BEED76B6C7}">
  <sheetPr codeName="Sheet1">
    <pageSetUpPr fitToPage="1"/>
  </sheetPr>
  <dimension ref="A1:R172"/>
  <sheetViews>
    <sheetView tabSelected="1" topLeftCell="A6" workbookViewId="0">
      <selection activeCell="C40" sqref="C40"/>
    </sheetView>
  </sheetViews>
  <sheetFormatPr defaultColWidth="8.7109375" defaultRowHeight="15" x14ac:dyDescent="0.25"/>
  <cols>
    <col min="1" max="1" width="8.7109375" style="16" customWidth="1"/>
    <col min="2" max="2" width="14.140625" style="16" customWidth="1"/>
    <col min="3" max="3" width="11" style="16" customWidth="1"/>
    <col min="4" max="4" width="21.5703125" style="16" customWidth="1"/>
    <col min="5" max="5" width="17" style="16" customWidth="1"/>
    <col min="6" max="6" width="8.7109375" style="16"/>
    <col min="7" max="7" width="19.28515625" style="16" customWidth="1"/>
    <col min="8" max="8" width="27.5703125" style="16" customWidth="1"/>
    <col min="9" max="9" width="30.7109375" style="16" customWidth="1"/>
    <col min="10" max="10" width="8.7109375" style="16"/>
    <col min="11" max="11" width="11.28515625" style="16" customWidth="1"/>
    <col min="12" max="12" width="12" style="16" bestFit="1" customWidth="1"/>
    <col min="13" max="13" width="8.7109375" style="16"/>
    <col min="14" max="14" width="4.28515625" style="16" customWidth="1"/>
    <col min="15" max="15" width="5.28515625" style="16" customWidth="1"/>
    <col min="16" max="16384" width="8.7109375" style="16"/>
  </cols>
  <sheetData>
    <row r="1" spans="1:12" x14ac:dyDescent="0.25">
      <c r="A1" s="15"/>
      <c r="I1" s="17" t="s">
        <v>68</v>
      </c>
    </row>
    <row r="2" spans="1:12" x14ac:dyDescent="0.25">
      <c r="A2" s="15"/>
    </row>
    <row r="3" spans="1:12" x14ac:dyDescent="0.25">
      <c r="A3" s="18"/>
    </row>
    <row r="4" spans="1:12" ht="18.75" x14ac:dyDescent="0.25">
      <c r="I4" s="85" t="s">
        <v>156</v>
      </c>
    </row>
    <row r="5" spans="1:12" ht="19.5" x14ac:dyDescent="0.25">
      <c r="A5" s="19"/>
      <c r="I5" s="19" t="s">
        <v>182</v>
      </c>
    </row>
    <row r="6" spans="1:12" x14ac:dyDescent="0.25">
      <c r="I6" s="113"/>
    </row>
    <row r="7" spans="1:12" x14ac:dyDescent="0.25">
      <c r="I7" s="20" t="s">
        <v>48</v>
      </c>
    </row>
    <row r="8" spans="1:12" x14ac:dyDescent="0.25">
      <c r="I8" s="15" t="s">
        <v>48</v>
      </c>
    </row>
    <row r="9" spans="1:12" ht="15.75" thickBot="1" x14ac:dyDescent="0.3"/>
    <row r="10" spans="1:12" ht="15.75" thickBot="1" x14ac:dyDescent="0.3">
      <c r="F10" s="21" t="s">
        <v>53</v>
      </c>
      <c r="H10" s="145" t="s">
        <v>505</v>
      </c>
      <c r="I10" s="146"/>
      <c r="J10" s="147"/>
      <c r="K10" s="22"/>
      <c r="L10" s="22"/>
    </row>
    <row r="11" spans="1:12" x14ac:dyDescent="0.25">
      <c r="A11" s="21"/>
      <c r="H11" s="76" t="s">
        <v>502</v>
      </c>
      <c r="I11" s="129">
        <v>9</v>
      </c>
      <c r="J11" s="73"/>
    </row>
    <row r="12" spans="1:12" x14ac:dyDescent="0.25">
      <c r="D12" s="74"/>
      <c r="F12" s="21" t="s">
        <v>91</v>
      </c>
    </row>
    <row r="13" spans="1:12" x14ac:dyDescent="0.25">
      <c r="F13" s="23" t="s">
        <v>157</v>
      </c>
    </row>
    <row r="14" spans="1:12" x14ac:dyDescent="0.25">
      <c r="A14" s="23" t="s">
        <v>48</v>
      </c>
      <c r="H14" s="46"/>
    </row>
    <row r="15" spans="1:12" x14ac:dyDescent="0.25">
      <c r="F15" s="21" t="s">
        <v>50</v>
      </c>
    </row>
    <row r="16" spans="1:12" x14ac:dyDescent="0.25">
      <c r="F16" s="24" t="s">
        <v>93</v>
      </c>
      <c r="G16" s="16" t="s">
        <v>417</v>
      </c>
    </row>
    <row r="17" spans="1:14" x14ac:dyDescent="0.25">
      <c r="F17" s="24" t="s">
        <v>93</v>
      </c>
      <c r="G17" s="16" t="s">
        <v>92</v>
      </c>
    </row>
    <row r="18" spans="1:14" x14ac:dyDescent="0.25">
      <c r="F18" s="24" t="s">
        <v>93</v>
      </c>
      <c r="G18" s="16" t="s">
        <v>158</v>
      </c>
    </row>
    <row r="19" spans="1:14" x14ac:dyDescent="0.25">
      <c r="F19" s="24" t="s">
        <v>93</v>
      </c>
      <c r="G19" s="16" t="s">
        <v>164</v>
      </c>
    </row>
    <row r="20" spans="1:14" ht="15.75" thickBot="1" x14ac:dyDescent="0.3">
      <c r="A20" s="25"/>
      <c r="F20" s="24"/>
    </row>
    <row r="21" spans="1:14" ht="30.75" thickBot="1" x14ac:dyDescent="0.3">
      <c r="H21" s="26" t="s">
        <v>113</v>
      </c>
      <c r="I21" s="27"/>
      <c r="J21" s="28" t="s">
        <v>51</v>
      </c>
      <c r="K21" s="28" t="s">
        <v>52</v>
      </c>
    </row>
    <row r="22" spans="1:14" ht="15.75" thickBot="1" x14ac:dyDescent="0.3">
      <c r="H22" s="29">
        <v>1</v>
      </c>
      <c r="I22" s="107"/>
      <c r="J22" s="70"/>
      <c r="K22" s="30">
        <v>10</v>
      </c>
    </row>
    <row r="23" spans="1:14" ht="15.75" thickBot="1" x14ac:dyDescent="0.3">
      <c r="H23" s="29">
        <v>2</v>
      </c>
      <c r="I23" s="107"/>
      <c r="J23" s="70"/>
      <c r="K23" s="30">
        <v>10</v>
      </c>
    </row>
    <row r="24" spans="1:14" ht="15.75" thickBot="1" x14ac:dyDescent="0.3">
      <c r="H24" s="29">
        <v>3</v>
      </c>
      <c r="I24" s="107"/>
      <c r="J24" s="70"/>
      <c r="K24" s="30">
        <v>10</v>
      </c>
    </row>
    <row r="25" spans="1:14" ht="15.75" thickBot="1" x14ac:dyDescent="0.3">
      <c r="H25" s="29">
        <v>4</v>
      </c>
      <c r="I25" s="107"/>
      <c r="J25" s="70"/>
      <c r="K25" s="30">
        <v>10</v>
      </c>
    </row>
    <row r="26" spans="1:14" ht="15.75" thickBot="1" x14ac:dyDescent="0.3">
      <c r="H26" s="29">
        <v>5</v>
      </c>
      <c r="I26" s="107"/>
      <c r="J26" s="70"/>
      <c r="K26" s="30">
        <v>10</v>
      </c>
    </row>
    <row r="27" spans="1:14" ht="15.75" thickBot="1" x14ac:dyDescent="0.3">
      <c r="F27" s="40">
        <v>0</v>
      </c>
      <c r="H27" s="29">
        <v>6</v>
      </c>
      <c r="I27" s="106"/>
      <c r="J27" s="71"/>
      <c r="K27" s="30">
        <v>10</v>
      </c>
      <c r="L27" s="80">
        <f>J27/K27</f>
        <v>0</v>
      </c>
    </row>
    <row r="28" spans="1:14" ht="15.75" thickBot="1" x14ac:dyDescent="0.3">
      <c r="F28" s="40">
        <v>0</v>
      </c>
      <c r="H28" s="96">
        <v>7</v>
      </c>
      <c r="I28" s="135"/>
      <c r="J28" s="98"/>
      <c r="K28" s="30">
        <v>10</v>
      </c>
      <c r="L28" s="80"/>
    </row>
    <row r="29" spans="1:14" x14ac:dyDescent="0.25">
      <c r="H29" s="97" t="s">
        <v>167</v>
      </c>
      <c r="I29" s="101"/>
      <c r="J29" s="99"/>
      <c r="K29" s="100">
        <v>70</v>
      </c>
      <c r="L29" s="80"/>
    </row>
    <row r="30" spans="1:14" x14ac:dyDescent="0.25">
      <c r="H30" s="31"/>
      <c r="I30" s="32"/>
      <c r="J30" s="95"/>
      <c r="K30" s="31"/>
      <c r="L30" s="80"/>
    </row>
    <row r="31" spans="1:14" ht="15.75" thickBot="1" x14ac:dyDescent="0.3">
      <c r="F31" s="42"/>
      <c r="H31" s="31"/>
      <c r="I31" s="32"/>
      <c r="J31" s="32"/>
      <c r="K31" s="31"/>
    </row>
    <row r="32" spans="1:14" x14ac:dyDescent="0.25">
      <c r="F32" s="75"/>
      <c r="G32" s="33"/>
      <c r="H32" s="33"/>
      <c r="I32" s="33"/>
      <c r="J32" s="33"/>
      <c r="K32" s="33"/>
      <c r="L32" s="33"/>
      <c r="M32" s="34"/>
      <c r="N32" s="11"/>
    </row>
    <row r="33" spans="1:18" ht="33.6" customHeight="1" x14ac:dyDescent="0.25">
      <c r="F33" s="35" t="s">
        <v>93</v>
      </c>
      <c r="G33" s="148" t="s">
        <v>57</v>
      </c>
      <c r="H33" s="148"/>
      <c r="I33" s="148"/>
      <c r="J33" s="148"/>
      <c r="K33" s="148"/>
      <c r="L33" s="148"/>
      <c r="M33" s="149"/>
      <c r="N33" s="72"/>
    </row>
    <row r="34" spans="1:18" ht="32.1" customHeight="1" thickBot="1" x14ac:dyDescent="0.3">
      <c r="F34" s="36" t="s">
        <v>93</v>
      </c>
      <c r="G34" s="150" t="s">
        <v>58</v>
      </c>
      <c r="H34" s="150"/>
      <c r="I34" s="150"/>
      <c r="J34" s="150"/>
      <c r="K34" s="150"/>
      <c r="L34" s="150"/>
      <c r="M34" s="151"/>
      <c r="N34" s="72"/>
    </row>
    <row r="35" spans="1:18" x14ac:dyDescent="0.25">
      <c r="F35" s="152" t="s">
        <v>183</v>
      </c>
      <c r="G35" s="153"/>
      <c r="H35" s="153"/>
      <c r="I35" s="153"/>
      <c r="J35" s="153"/>
      <c r="K35" s="153"/>
      <c r="L35" s="153"/>
      <c r="M35" s="154"/>
    </row>
    <row r="36" spans="1:18" x14ac:dyDescent="0.25">
      <c r="A36" s="11"/>
      <c r="B36" s="11"/>
      <c r="C36" s="11"/>
      <c r="D36" s="11"/>
      <c r="E36" s="11"/>
      <c r="F36" s="155"/>
      <c r="G36" s="156"/>
      <c r="H36" s="156"/>
      <c r="I36" s="156"/>
      <c r="J36" s="156"/>
      <c r="K36" s="156"/>
      <c r="L36" s="156"/>
      <c r="M36" s="157"/>
      <c r="N36" s="11"/>
      <c r="O36" s="11"/>
      <c r="P36" s="11"/>
      <c r="Q36" s="11"/>
      <c r="R36" s="11"/>
    </row>
    <row r="37" spans="1:18" ht="15.75" thickBot="1" x14ac:dyDescent="0.3">
      <c r="A37" s="39"/>
      <c r="B37" s="39"/>
      <c r="C37" s="39"/>
      <c r="D37" s="39"/>
      <c r="E37" s="39"/>
      <c r="F37" s="116"/>
      <c r="G37" s="117"/>
      <c r="H37" s="117"/>
      <c r="I37" s="117"/>
      <c r="J37" s="118"/>
      <c r="K37" s="118"/>
      <c r="L37" s="118"/>
      <c r="M37" s="119"/>
      <c r="N37" s="77"/>
      <c r="O37" s="77"/>
      <c r="P37" s="77"/>
      <c r="Q37" s="11"/>
      <c r="R37" s="11"/>
    </row>
    <row r="38" spans="1:18" s="40" customFormat="1" ht="45" x14ac:dyDescent="0.25">
      <c r="A38" s="39" t="s">
        <v>113</v>
      </c>
      <c r="D38" s="37" t="s">
        <v>114</v>
      </c>
      <c r="E38" s="37" t="s">
        <v>115</v>
      </c>
      <c r="F38" s="48" t="s">
        <v>116</v>
      </c>
      <c r="G38" s="49" t="s">
        <v>117</v>
      </c>
      <c r="H38" s="37" t="s">
        <v>118</v>
      </c>
      <c r="J38" s="79"/>
      <c r="K38" s="47"/>
      <c r="L38" s="47"/>
      <c r="M38" s="47"/>
      <c r="N38" s="47"/>
      <c r="O38" s="47"/>
      <c r="P38" s="47"/>
      <c r="Q38" s="39"/>
      <c r="R38" s="39"/>
    </row>
    <row r="39" spans="1:18" s="38" customFormat="1" ht="30" x14ac:dyDescent="0.25">
      <c r="A39" s="37">
        <v>1</v>
      </c>
      <c r="B39" s="48" t="s">
        <v>119</v>
      </c>
      <c r="C39" s="38" t="s">
        <v>120</v>
      </c>
      <c r="D39" s="39" t="s">
        <v>67</v>
      </c>
      <c r="E39" s="50">
        <v>40000</v>
      </c>
      <c r="F39" s="39">
        <v>1</v>
      </c>
      <c r="G39" s="51" t="e">
        <f>#REF!</f>
        <v>#REF!</v>
      </c>
      <c r="H39" s="52">
        <f>gradeGenericQuestionRange(D39,E39:F42,1,G39)</f>
        <v>0</v>
      </c>
      <c r="J39" s="79"/>
      <c r="K39" s="77"/>
      <c r="L39" s="81"/>
      <c r="M39" s="77"/>
      <c r="N39" s="77"/>
      <c r="O39" s="77"/>
      <c r="P39" s="77"/>
      <c r="Q39" s="37"/>
      <c r="R39" s="37"/>
    </row>
    <row r="40" spans="1:18" s="40" customFormat="1" x14ac:dyDescent="0.25">
      <c r="A40" s="39"/>
      <c r="D40" s="39"/>
      <c r="E40" s="50">
        <v>-40000</v>
      </c>
      <c r="F40" s="40">
        <v>1</v>
      </c>
      <c r="G40" s="50"/>
      <c r="H40" s="52"/>
      <c r="J40" s="47"/>
      <c r="K40" s="77"/>
      <c r="L40" s="81"/>
      <c r="M40" s="77"/>
      <c r="N40" s="77"/>
      <c r="O40" s="77"/>
      <c r="P40" s="77"/>
      <c r="Q40" s="39"/>
      <c r="R40" s="39"/>
    </row>
    <row r="41" spans="1:18" s="40" customFormat="1" x14ac:dyDescent="0.25">
      <c r="A41" s="39"/>
      <c r="D41" s="39"/>
      <c r="E41" s="50">
        <v>65000</v>
      </c>
      <c r="F41" s="40">
        <v>0.5</v>
      </c>
      <c r="G41" s="50"/>
      <c r="H41" s="54"/>
      <c r="J41" s="47"/>
      <c r="K41" s="77"/>
      <c r="L41" s="81"/>
      <c r="M41" s="77"/>
      <c r="N41" s="77"/>
      <c r="O41" s="77"/>
      <c r="P41" s="77"/>
      <c r="Q41" s="39"/>
      <c r="R41" s="39"/>
    </row>
    <row r="42" spans="1:18" s="40" customFormat="1" x14ac:dyDescent="0.25">
      <c r="A42" s="39"/>
      <c r="D42" s="39"/>
      <c r="E42" s="50">
        <f>E39*8/12</f>
        <v>26666.666666666668</v>
      </c>
      <c r="F42" s="40">
        <v>0.5</v>
      </c>
      <c r="G42" s="50"/>
      <c r="H42" s="54"/>
      <c r="J42" s="47"/>
      <c r="K42" s="77"/>
      <c r="L42" s="81"/>
      <c r="M42" s="77"/>
      <c r="N42" s="77"/>
      <c r="O42" s="77"/>
      <c r="P42" s="77"/>
      <c r="Q42" s="39"/>
      <c r="R42" s="39"/>
    </row>
    <row r="43" spans="1:18" s="40" customFormat="1" ht="30" x14ac:dyDescent="0.25">
      <c r="A43" s="39"/>
      <c r="B43" s="39"/>
      <c r="C43" s="55" t="s">
        <v>121</v>
      </c>
      <c r="D43" s="39" t="s">
        <v>67</v>
      </c>
      <c r="E43" s="50">
        <v>12000</v>
      </c>
      <c r="F43" s="39">
        <v>1</v>
      </c>
      <c r="G43" s="50" t="e">
        <f>#REF!</f>
        <v>#REF!</v>
      </c>
      <c r="H43" s="52" t="str">
        <f>gradeGenericQuestion(D43,E43:E44,F43,G43)</f>
        <v>2Exception</v>
      </c>
      <c r="J43" s="78"/>
      <c r="K43" s="77"/>
      <c r="L43" s="77"/>
      <c r="M43" s="77"/>
      <c r="N43" s="77"/>
      <c r="O43" s="77"/>
      <c r="P43" s="77"/>
      <c r="Q43" s="39"/>
      <c r="R43" s="39"/>
    </row>
    <row r="44" spans="1:18" s="40" customFormat="1" x14ac:dyDescent="0.25">
      <c r="A44" s="39"/>
      <c r="B44" s="39"/>
      <c r="C44" s="39"/>
      <c r="D44" s="39"/>
      <c r="E44" s="50">
        <v>-12000</v>
      </c>
      <c r="F44" s="40">
        <v>1</v>
      </c>
      <c r="G44" s="50"/>
      <c r="H44" s="54"/>
      <c r="J44" s="77"/>
      <c r="K44" s="77"/>
      <c r="L44" s="78"/>
      <c r="M44" s="78"/>
      <c r="N44" s="78"/>
      <c r="O44" s="77"/>
      <c r="P44" s="77"/>
      <c r="Q44" s="39"/>
      <c r="R44" s="39"/>
    </row>
    <row r="45" spans="1:18" s="40" customFormat="1" x14ac:dyDescent="0.25">
      <c r="A45" s="39"/>
      <c r="B45" s="39"/>
      <c r="C45" s="39" t="s">
        <v>122</v>
      </c>
      <c r="D45" s="39" t="s">
        <v>67</v>
      </c>
      <c r="E45" s="50">
        <v>8671.75</v>
      </c>
      <c r="F45" s="39">
        <v>1</v>
      </c>
      <c r="G45" s="50" t="e">
        <f>#REF!</f>
        <v>#REF!</v>
      </c>
      <c r="H45" s="52">
        <f>gradeGenericQuestionRange(D45,E45:F49,1,G45)</f>
        <v>0</v>
      </c>
      <c r="J45" s="78"/>
      <c r="K45" s="77"/>
      <c r="L45" s="77"/>
      <c r="M45" s="78"/>
      <c r="N45" s="78"/>
      <c r="O45" s="77"/>
      <c r="P45" s="77"/>
      <c r="Q45" s="39"/>
      <c r="R45" s="39"/>
    </row>
    <row r="46" spans="1:18" s="40" customFormat="1" x14ac:dyDescent="0.25">
      <c r="A46" s="39"/>
      <c r="B46" s="39"/>
      <c r="C46" s="39"/>
      <c r="D46" s="39"/>
      <c r="E46" s="50">
        <v>8672</v>
      </c>
      <c r="F46" s="39">
        <v>1</v>
      </c>
      <c r="G46" s="50"/>
      <c r="H46" s="56"/>
      <c r="J46" s="78"/>
      <c r="K46" s="77"/>
      <c r="L46" s="82"/>
      <c r="M46" s="47"/>
      <c r="N46" s="78"/>
      <c r="O46" s="77"/>
      <c r="P46" s="77"/>
      <c r="Q46" s="39"/>
      <c r="R46" s="39"/>
    </row>
    <row r="47" spans="1:18" s="40" customFormat="1" x14ac:dyDescent="0.25">
      <c r="A47" s="39"/>
      <c r="B47" s="39"/>
      <c r="C47" s="39"/>
      <c r="D47" s="39"/>
      <c r="E47" s="50">
        <v>-8671.75</v>
      </c>
      <c r="F47" s="40">
        <v>1</v>
      </c>
      <c r="G47" s="57"/>
      <c r="H47" s="56"/>
      <c r="J47" s="78"/>
      <c r="K47" s="77"/>
      <c r="L47" s="78"/>
      <c r="M47" s="78"/>
      <c r="N47" s="77"/>
      <c r="O47" s="77"/>
      <c r="P47" s="77"/>
      <c r="Q47" s="39"/>
      <c r="R47" s="39"/>
    </row>
    <row r="48" spans="1:18" s="40" customFormat="1" x14ac:dyDescent="0.25">
      <c r="A48" s="39"/>
      <c r="B48" s="39"/>
      <c r="C48" s="39"/>
      <c r="D48" s="39"/>
      <c r="E48" s="50">
        <v>-8672</v>
      </c>
      <c r="F48" s="40">
        <v>1</v>
      </c>
      <c r="G48" s="57"/>
      <c r="H48" s="54"/>
      <c r="J48" s="77"/>
      <c r="K48" s="77"/>
      <c r="L48" s="78"/>
      <c r="M48" s="78"/>
      <c r="N48" s="78"/>
      <c r="O48" s="77"/>
      <c r="P48" s="77"/>
      <c r="Q48" s="39"/>
      <c r="R48" s="39"/>
    </row>
    <row r="49" spans="1:18" s="40" customFormat="1" x14ac:dyDescent="0.25">
      <c r="A49" s="39"/>
      <c r="B49" s="39"/>
      <c r="C49" s="39"/>
      <c r="D49" s="39"/>
      <c r="E49" s="50">
        <f>(80000-10000)*2/8</f>
        <v>17500</v>
      </c>
      <c r="F49" s="40">
        <v>0.5</v>
      </c>
      <c r="G49" s="57"/>
      <c r="H49" s="54"/>
      <c r="J49" s="77"/>
      <c r="K49" s="77"/>
      <c r="L49" s="78"/>
      <c r="M49" s="78"/>
      <c r="N49" s="78"/>
      <c r="O49" s="77"/>
      <c r="P49" s="77"/>
      <c r="Q49" s="39"/>
      <c r="R49" s="39"/>
    </row>
    <row r="50" spans="1:18" s="40" customFormat="1" ht="30" x14ac:dyDescent="0.25">
      <c r="A50" s="39"/>
      <c r="B50" s="39"/>
      <c r="C50" s="55" t="s">
        <v>123</v>
      </c>
      <c r="D50" s="39" t="s">
        <v>67</v>
      </c>
      <c r="E50" s="50">
        <v>5400</v>
      </c>
      <c r="F50" s="40">
        <v>1</v>
      </c>
      <c r="G50" s="57" t="e">
        <f>#REF!</f>
        <v>#REF!</v>
      </c>
      <c r="H50" s="52">
        <f>gradeGenericQuestionRange(D50,E50:F52,1,G50)</f>
        <v>0</v>
      </c>
      <c r="J50" s="77"/>
      <c r="K50" s="83"/>
      <c r="L50" s="77"/>
      <c r="M50" s="77"/>
      <c r="N50" s="77"/>
      <c r="O50" s="77"/>
      <c r="P50" s="77"/>
      <c r="Q50" s="39"/>
      <c r="R50" s="39"/>
    </row>
    <row r="51" spans="1:18" s="40" customFormat="1" x14ac:dyDescent="0.25">
      <c r="A51" s="39"/>
      <c r="B51" s="39"/>
      <c r="C51" s="39"/>
      <c r="D51" s="37"/>
      <c r="E51" s="50">
        <v>-5400</v>
      </c>
      <c r="F51" s="40">
        <v>1</v>
      </c>
      <c r="G51" s="57"/>
      <c r="H51" s="53"/>
      <c r="J51" s="77"/>
      <c r="K51" s="83"/>
      <c r="L51" s="78"/>
      <c r="M51" s="78"/>
      <c r="N51" s="47"/>
      <c r="O51" s="77"/>
      <c r="P51" s="82"/>
      <c r="Q51" s="39"/>
      <c r="R51" s="39"/>
    </row>
    <row r="52" spans="1:18" s="40" customFormat="1" x14ac:dyDescent="0.25">
      <c r="A52" s="39"/>
      <c r="B52" s="39"/>
      <c r="C52" s="39"/>
      <c r="D52" s="39"/>
      <c r="E52" s="50">
        <f>100000/500000*30000</f>
        <v>6000</v>
      </c>
      <c r="F52" s="40">
        <v>0.5</v>
      </c>
      <c r="G52" s="57"/>
      <c r="H52" s="53"/>
      <c r="J52" s="77"/>
      <c r="K52" s="83"/>
      <c r="L52" s="77"/>
      <c r="M52" s="77"/>
      <c r="N52" s="77"/>
      <c r="O52" s="77"/>
      <c r="P52" s="78"/>
      <c r="Q52" s="37"/>
      <c r="R52" s="39"/>
    </row>
    <row r="53" spans="1:18" s="40" customFormat="1" x14ac:dyDescent="0.25">
      <c r="A53" s="39"/>
      <c r="B53" s="37"/>
      <c r="C53" s="39"/>
      <c r="D53" s="39"/>
      <c r="E53" s="50"/>
      <c r="F53" s="39"/>
      <c r="G53" s="50"/>
      <c r="J53" s="77"/>
      <c r="K53" s="77"/>
      <c r="L53" s="77"/>
      <c r="M53" s="77"/>
      <c r="N53" s="77"/>
      <c r="O53" s="77"/>
      <c r="P53" s="77"/>
      <c r="R53" s="39"/>
    </row>
    <row r="54" spans="1:18" s="40" customFormat="1" x14ac:dyDescent="0.25">
      <c r="A54" s="37">
        <v>1</v>
      </c>
      <c r="B54" s="37" t="s">
        <v>124</v>
      </c>
      <c r="C54" s="37" t="s">
        <v>120</v>
      </c>
      <c r="D54" s="39" t="s">
        <v>67</v>
      </c>
      <c r="E54" s="50">
        <v>266667</v>
      </c>
      <c r="F54" s="39">
        <v>1</v>
      </c>
      <c r="G54" s="57" t="e">
        <f>#REF!</f>
        <v>#REF!</v>
      </c>
      <c r="H54" s="52" t="str">
        <f>gradeGenericQuestion(D54,E54:E55,F54,G54)</f>
        <v>2Exception</v>
      </c>
      <c r="J54" s="77"/>
      <c r="K54" s="77"/>
      <c r="L54" s="77"/>
      <c r="M54" s="77"/>
      <c r="N54" s="77"/>
      <c r="O54" s="77"/>
      <c r="P54" s="77"/>
      <c r="Q54" s="39"/>
      <c r="R54" s="39"/>
    </row>
    <row r="55" spans="1:18" s="40" customFormat="1" x14ac:dyDescent="0.25">
      <c r="A55" s="37"/>
      <c r="B55" s="37"/>
      <c r="C55" s="37"/>
      <c r="D55" s="37"/>
      <c r="E55" s="50">
        <f>226667+65000</f>
        <v>291667</v>
      </c>
      <c r="F55" s="39">
        <v>1</v>
      </c>
      <c r="G55" s="50"/>
      <c r="H55" s="58"/>
      <c r="J55" s="77"/>
      <c r="K55" s="77"/>
      <c r="L55" s="77"/>
      <c r="M55" s="77"/>
      <c r="N55" s="77"/>
      <c r="O55" s="77"/>
      <c r="P55" s="77"/>
      <c r="Q55" s="39"/>
      <c r="R55" s="39"/>
    </row>
    <row r="56" spans="1:18" s="40" customFormat="1" x14ac:dyDescent="0.25">
      <c r="A56" s="37"/>
      <c r="B56" s="39"/>
      <c r="C56" s="39"/>
      <c r="D56" s="37"/>
      <c r="E56" s="50"/>
      <c r="G56" s="50"/>
      <c r="J56" s="77"/>
      <c r="K56" s="77"/>
      <c r="L56" s="77"/>
      <c r="M56" s="77"/>
      <c r="N56" s="77"/>
      <c r="O56" s="77"/>
      <c r="P56" s="77"/>
      <c r="Q56" s="39"/>
      <c r="R56" s="39"/>
    </row>
    <row r="57" spans="1:18" s="40" customFormat="1" x14ac:dyDescent="0.25">
      <c r="A57" s="39"/>
      <c r="B57" s="39"/>
      <c r="C57" s="39" t="s">
        <v>125</v>
      </c>
      <c r="D57" s="39" t="s">
        <v>67</v>
      </c>
      <c r="E57" s="50">
        <v>80000</v>
      </c>
      <c r="F57" s="59">
        <v>1</v>
      </c>
      <c r="G57" s="60" t="e">
        <f>#REF!</f>
        <v>#REF!</v>
      </c>
      <c r="H57" s="52" t="str">
        <f>gradeGenericQuestion(D57,E57,F57,G57)</f>
        <v>2Exception</v>
      </c>
      <c r="J57" s="77"/>
      <c r="K57" s="77"/>
      <c r="L57" s="77"/>
      <c r="M57" s="77"/>
      <c r="N57" s="77"/>
      <c r="O57" s="77"/>
      <c r="P57" s="77"/>
      <c r="Q57" s="39"/>
      <c r="R57" s="39"/>
    </row>
    <row r="58" spans="1:18" s="40" customFormat="1" x14ac:dyDescent="0.25">
      <c r="A58" s="39"/>
      <c r="E58" s="57"/>
      <c r="J58" s="78"/>
      <c r="K58" s="78"/>
      <c r="L58" s="78"/>
      <c r="M58" s="78"/>
      <c r="N58" s="78"/>
      <c r="O58" s="78"/>
      <c r="P58" s="78"/>
      <c r="Q58" s="39"/>
      <c r="R58" s="39"/>
    </row>
    <row r="59" spans="1:18" s="40" customFormat="1" x14ac:dyDescent="0.25">
      <c r="A59" s="39"/>
      <c r="B59" s="39"/>
      <c r="C59" s="39" t="s">
        <v>122</v>
      </c>
      <c r="D59" s="39" t="s">
        <v>67</v>
      </c>
      <c r="E59" s="50">
        <v>53984.75</v>
      </c>
      <c r="F59" s="39">
        <v>1</v>
      </c>
      <c r="G59" s="50" t="e">
        <f>#REF!</f>
        <v>#REF!</v>
      </c>
      <c r="H59" s="52" t="str">
        <f>gradeGenericQuestion(D59,E59:E61,F59,G59)</f>
        <v>2Exception</v>
      </c>
      <c r="J59" s="77"/>
      <c r="K59" s="77"/>
      <c r="L59" s="77"/>
      <c r="M59" s="77"/>
      <c r="N59" s="77"/>
      <c r="O59" s="77"/>
      <c r="P59" s="77"/>
      <c r="Q59" s="39"/>
      <c r="R59" s="39"/>
    </row>
    <row r="60" spans="1:18" s="40" customFormat="1" x14ac:dyDescent="0.25">
      <c r="A60" s="39"/>
      <c r="B60" s="39"/>
      <c r="C60" s="39"/>
      <c r="D60" s="39"/>
      <c r="E60" s="50">
        <v>53985</v>
      </c>
      <c r="F60" s="39">
        <v>1</v>
      </c>
      <c r="G60" s="39"/>
      <c r="H60" s="39"/>
      <c r="J60" s="77"/>
      <c r="K60" s="77"/>
      <c r="L60" s="77"/>
      <c r="M60" s="77"/>
      <c r="N60" s="77"/>
      <c r="O60" s="77"/>
      <c r="P60" s="77"/>
      <c r="Q60" s="39"/>
      <c r="R60" s="39"/>
    </row>
    <row r="61" spans="1:18" s="40" customFormat="1" x14ac:dyDescent="0.25">
      <c r="A61" s="39"/>
      <c r="B61" s="39"/>
      <c r="C61" s="39"/>
      <c r="D61" s="39"/>
      <c r="E61" s="50">
        <v>62813</v>
      </c>
      <c r="F61" s="39">
        <v>1</v>
      </c>
      <c r="G61" s="39"/>
      <c r="H61" s="39"/>
      <c r="J61" s="77"/>
      <c r="K61" s="77"/>
      <c r="L61" s="77"/>
      <c r="M61" s="77"/>
      <c r="N61" s="77"/>
      <c r="O61" s="77"/>
      <c r="P61" s="77"/>
      <c r="Q61" s="39"/>
      <c r="R61" s="39"/>
    </row>
    <row r="62" spans="1:18" s="40" customFormat="1" x14ac:dyDescent="0.25">
      <c r="A62" s="39"/>
      <c r="B62" s="39"/>
      <c r="C62" s="39"/>
      <c r="D62" s="39"/>
      <c r="E62" s="50"/>
      <c r="F62" s="39"/>
      <c r="G62" s="39"/>
      <c r="H62" s="39"/>
      <c r="J62" s="77"/>
      <c r="K62" s="77"/>
      <c r="L62" s="77"/>
      <c r="M62" s="77"/>
      <c r="N62" s="77"/>
      <c r="O62" s="77"/>
      <c r="P62" s="78"/>
      <c r="R62" s="39"/>
    </row>
    <row r="63" spans="1:18" s="40" customFormat="1" x14ac:dyDescent="0.25">
      <c r="C63" s="40" t="s">
        <v>126</v>
      </c>
      <c r="D63" s="40" t="s">
        <v>67</v>
      </c>
      <c r="E63" s="57">
        <v>5400</v>
      </c>
      <c r="F63" s="40">
        <v>1</v>
      </c>
      <c r="G63" s="40" t="e">
        <f>#REF!</f>
        <v>#REF!</v>
      </c>
      <c r="H63" s="52" t="str">
        <f>gradeGenericQuestion(D63,E63:E64,F63,G63)</f>
        <v>2Exception</v>
      </c>
      <c r="J63" s="78"/>
      <c r="K63" s="78"/>
      <c r="L63" s="78"/>
      <c r="M63" s="78"/>
      <c r="N63" s="78"/>
      <c r="O63" s="78"/>
      <c r="P63" s="78"/>
    </row>
    <row r="64" spans="1:18" s="40" customFormat="1" x14ac:dyDescent="0.25">
      <c r="E64" s="57">
        <v>6000</v>
      </c>
      <c r="F64" s="40">
        <v>1</v>
      </c>
      <c r="J64" s="78"/>
      <c r="K64" s="78"/>
      <c r="L64" s="78"/>
      <c r="M64" s="78"/>
      <c r="N64" s="78"/>
      <c r="O64" s="78"/>
      <c r="P64" s="78"/>
    </row>
    <row r="65" spans="1:16" s="40" customFormat="1" x14ac:dyDescent="0.25">
      <c r="C65" s="40" t="s">
        <v>130</v>
      </c>
      <c r="E65" s="57"/>
      <c r="H65" s="38">
        <f>SUM(H39,H43,H45,H50,H54,H57,H59,H63)</f>
        <v>0</v>
      </c>
      <c r="J65" s="78"/>
      <c r="K65" s="78"/>
      <c r="L65" s="78"/>
      <c r="M65" s="78"/>
      <c r="N65" s="78"/>
      <c r="O65" s="78"/>
      <c r="P65" s="78"/>
    </row>
    <row r="66" spans="1:16" s="40" customFormat="1" x14ac:dyDescent="0.25">
      <c r="E66" s="57"/>
      <c r="J66" s="78"/>
      <c r="K66" s="78"/>
      <c r="L66" s="78"/>
      <c r="M66" s="78"/>
      <c r="N66" s="78"/>
      <c r="O66" s="78"/>
      <c r="P66" s="78"/>
    </row>
    <row r="67" spans="1:16" s="40" customFormat="1" x14ac:dyDescent="0.25">
      <c r="A67" s="40">
        <v>2</v>
      </c>
      <c r="B67" s="40" t="s">
        <v>127</v>
      </c>
      <c r="C67" s="61">
        <v>43830</v>
      </c>
      <c r="D67" s="40" t="s">
        <v>128</v>
      </c>
      <c r="E67" s="57" t="s">
        <v>0</v>
      </c>
      <c r="F67" s="40">
        <v>0.5</v>
      </c>
      <c r="G67" s="52" t="e">
        <f>#REF!</f>
        <v>#REF!</v>
      </c>
      <c r="H67" s="52" t="str">
        <f>gradeGenericQuestion(D67,E67,F67,G67)</f>
        <v>2Exception</v>
      </c>
      <c r="J67" s="78"/>
      <c r="K67" s="78"/>
      <c r="L67" s="78"/>
      <c r="M67" s="78"/>
      <c r="N67" s="78"/>
      <c r="O67" s="78"/>
      <c r="P67" s="78"/>
    </row>
    <row r="68" spans="1:16" s="40" customFormat="1" x14ac:dyDescent="0.25">
      <c r="C68" s="61"/>
      <c r="D68" s="40" t="s">
        <v>129</v>
      </c>
      <c r="E68" s="57">
        <v>17500</v>
      </c>
      <c r="F68" s="40">
        <v>0.5</v>
      </c>
      <c r="G68" s="62" t="e">
        <f>#REF!</f>
        <v>#REF!</v>
      </c>
      <c r="H68" s="52" t="str">
        <f>gradeGenericQuestion(D68,E68,F68,G68)</f>
        <v>2Exception</v>
      </c>
      <c r="J68" s="78"/>
      <c r="K68" s="78"/>
      <c r="L68" s="78"/>
      <c r="M68" s="78"/>
      <c r="N68" s="78"/>
      <c r="O68" s="78"/>
      <c r="P68" s="78"/>
    </row>
    <row r="69" spans="1:16" s="40" customFormat="1" x14ac:dyDescent="0.25">
      <c r="D69" s="40" t="s">
        <v>128</v>
      </c>
      <c r="E69" s="57" t="s">
        <v>108</v>
      </c>
      <c r="F69" s="40">
        <v>0.5</v>
      </c>
      <c r="G69" s="52" t="e">
        <f>#REF!</f>
        <v>#REF!</v>
      </c>
      <c r="H69" s="52" t="str">
        <f>gradeGenericQuestion(D69,E69,F69,G69)</f>
        <v>2Exception</v>
      </c>
      <c r="J69" s="78"/>
      <c r="K69" s="78"/>
      <c r="L69" s="78"/>
      <c r="M69" s="78"/>
      <c r="N69" s="78"/>
      <c r="O69" s="78"/>
      <c r="P69" s="78"/>
    </row>
    <row r="70" spans="1:16" s="40" customFormat="1" x14ac:dyDescent="0.25">
      <c r="D70" s="40" t="s">
        <v>129</v>
      </c>
      <c r="E70" s="57">
        <v>17500</v>
      </c>
      <c r="F70" s="40">
        <v>0.5</v>
      </c>
      <c r="G70" s="62" t="e">
        <f>#REF!</f>
        <v>#REF!</v>
      </c>
      <c r="H70" s="52" t="str">
        <f>gradeGenericQuestion(D70,E70,F70,G70)</f>
        <v>2Exception</v>
      </c>
      <c r="J70" s="78"/>
      <c r="K70" s="78"/>
      <c r="L70" s="78"/>
      <c r="M70" s="78"/>
      <c r="N70" s="78"/>
      <c r="O70" s="78"/>
      <c r="P70" s="78"/>
    </row>
    <row r="71" spans="1:16" s="40" customFormat="1" x14ac:dyDescent="0.25">
      <c r="G71" s="52"/>
      <c r="J71" s="78"/>
      <c r="K71" s="78"/>
      <c r="L71" s="78"/>
      <c r="M71" s="78"/>
      <c r="N71" s="78"/>
      <c r="O71" s="78"/>
      <c r="P71" s="78"/>
    </row>
    <row r="72" spans="1:16" s="40" customFormat="1" x14ac:dyDescent="0.25">
      <c r="C72" s="61">
        <v>43496</v>
      </c>
      <c r="D72" s="40" t="s">
        <v>128</v>
      </c>
      <c r="E72" s="40" t="s">
        <v>108</v>
      </c>
      <c r="F72" s="40">
        <v>0.5</v>
      </c>
      <c r="G72" s="52" t="e">
        <f>#REF!</f>
        <v>#REF!</v>
      </c>
      <c r="H72" s="52" t="str">
        <f t="shared" ref="H72:H79" si="0">gradeGenericQuestion(D72,E72,F72,G72)</f>
        <v>2Exception</v>
      </c>
      <c r="J72" s="78"/>
      <c r="K72" s="78"/>
      <c r="L72" s="78"/>
      <c r="M72" s="78"/>
      <c r="N72" s="78"/>
      <c r="O72" s="78"/>
      <c r="P72" s="78"/>
    </row>
    <row r="73" spans="1:16" s="40" customFormat="1" x14ac:dyDescent="0.25">
      <c r="D73" s="40" t="s">
        <v>129</v>
      </c>
      <c r="E73" s="40">
        <v>15000</v>
      </c>
      <c r="F73" s="40">
        <v>0.5</v>
      </c>
      <c r="G73" s="62" t="e">
        <f>#REF!</f>
        <v>#REF!</v>
      </c>
      <c r="H73" s="52" t="str">
        <f t="shared" si="0"/>
        <v>2Exception</v>
      </c>
      <c r="J73" s="78"/>
      <c r="K73" s="78"/>
      <c r="L73" s="78"/>
      <c r="M73" s="78"/>
      <c r="N73" s="78"/>
      <c r="O73" s="78"/>
      <c r="P73" s="78"/>
    </row>
    <row r="74" spans="1:16" s="40" customFormat="1" x14ac:dyDescent="0.25">
      <c r="D74" s="40" t="s">
        <v>128</v>
      </c>
      <c r="E74" s="40" t="s">
        <v>109</v>
      </c>
      <c r="F74" s="40">
        <v>0.5</v>
      </c>
      <c r="G74" s="52" t="e">
        <f>#REF!</f>
        <v>#REF!</v>
      </c>
      <c r="H74" s="52" t="str">
        <f t="shared" si="0"/>
        <v>2Exception</v>
      </c>
      <c r="J74" s="78"/>
      <c r="K74" s="78"/>
      <c r="L74" s="78"/>
      <c r="M74" s="78"/>
      <c r="N74" s="78"/>
      <c r="O74" s="78"/>
      <c r="P74" s="78"/>
    </row>
    <row r="75" spans="1:16" s="40" customFormat="1" x14ac:dyDescent="0.25">
      <c r="D75" s="40" t="s">
        <v>129</v>
      </c>
      <c r="E75" s="40">
        <v>15000</v>
      </c>
      <c r="F75" s="40">
        <v>0.5</v>
      </c>
      <c r="G75" s="62" t="e">
        <f>#REF!</f>
        <v>#REF!</v>
      </c>
      <c r="H75" s="52" t="str">
        <f t="shared" si="0"/>
        <v>2Exception</v>
      </c>
      <c r="J75" s="78"/>
      <c r="K75" s="78"/>
      <c r="L75" s="78"/>
      <c r="M75" s="78"/>
      <c r="N75" s="78"/>
      <c r="O75" s="78"/>
      <c r="P75" s="78"/>
    </row>
    <row r="76" spans="1:16" s="40" customFormat="1" x14ac:dyDescent="0.25">
      <c r="D76" s="40" t="s">
        <v>128</v>
      </c>
      <c r="E76" s="40" t="s">
        <v>24</v>
      </c>
      <c r="F76" s="40">
        <v>0.5</v>
      </c>
      <c r="G76" s="52" t="e">
        <f>#REF!</f>
        <v>#REF!</v>
      </c>
      <c r="H76" s="52" t="str">
        <f t="shared" si="0"/>
        <v>2Exception</v>
      </c>
      <c r="J76" s="78"/>
      <c r="K76" s="78"/>
      <c r="L76" s="78"/>
      <c r="M76" s="78"/>
      <c r="N76" s="78"/>
      <c r="O76" s="78"/>
      <c r="P76" s="78"/>
    </row>
    <row r="77" spans="1:16" s="40" customFormat="1" x14ac:dyDescent="0.25">
      <c r="D77" s="40" t="s">
        <v>129</v>
      </c>
      <c r="E77" s="40">
        <v>13000</v>
      </c>
      <c r="F77" s="40">
        <v>0.5</v>
      </c>
      <c r="G77" s="62" t="e">
        <f>#REF!</f>
        <v>#REF!</v>
      </c>
      <c r="H77" s="52" t="str">
        <f t="shared" si="0"/>
        <v>2Exception</v>
      </c>
      <c r="J77" s="78"/>
      <c r="K77" s="78"/>
      <c r="L77" s="78"/>
      <c r="M77" s="78"/>
      <c r="N77" s="78"/>
      <c r="O77" s="78"/>
      <c r="P77" s="78"/>
    </row>
    <row r="78" spans="1:16" s="40" customFormat="1" x14ac:dyDescent="0.25">
      <c r="D78" s="40" t="s">
        <v>128</v>
      </c>
      <c r="E78" s="40" t="s">
        <v>3</v>
      </c>
      <c r="F78" s="40">
        <v>0.5</v>
      </c>
      <c r="G78" s="52" t="e">
        <f>#REF!</f>
        <v>#REF!</v>
      </c>
      <c r="H78" s="52" t="str">
        <f t="shared" si="0"/>
        <v>2Exception</v>
      </c>
      <c r="J78" s="78"/>
      <c r="K78" s="78"/>
      <c r="L78" s="78"/>
      <c r="M78" s="78"/>
      <c r="N78" s="78"/>
      <c r="O78" s="78"/>
      <c r="P78" s="78"/>
    </row>
    <row r="79" spans="1:16" s="40" customFormat="1" x14ac:dyDescent="0.25">
      <c r="D79" s="40" t="s">
        <v>129</v>
      </c>
      <c r="E79" s="40">
        <v>13000</v>
      </c>
      <c r="F79" s="40">
        <v>0.5</v>
      </c>
      <c r="G79" s="62" t="e">
        <f>#REF!</f>
        <v>#REF!</v>
      </c>
      <c r="H79" s="52" t="str">
        <f t="shared" si="0"/>
        <v>2Exception</v>
      </c>
      <c r="J79" s="78"/>
      <c r="K79" s="78"/>
      <c r="L79" s="78"/>
      <c r="M79" s="78"/>
      <c r="N79" s="78"/>
      <c r="O79" s="78"/>
      <c r="P79" s="78"/>
    </row>
    <row r="80" spans="1:16" s="40" customFormat="1" x14ac:dyDescent="0.25">
      <c r="G80" s="52"/>
      <c r="J80" s="78"/>
      <c r="K80" s="78"/>
      <c r="L80" s="78"/>
      <c r="M80" s="78"/>
      <c r="N80" s="78"/>
      <c r="O80" s="78"/>
      <c r="P80" s="78"/>
    </row>
    <row r="81" spans="1:16" s="40" customFormat="1" x14ac:dyDescent="0.25">
      <c r="C81" s="61">
        <v>43496</v>
      </c>
      <c r="D81" s="40" t="s">
        <v>128</v>
      </c>
      <c r="E81" s="40" t="s">
        <v>108</v>
      </c>
      <c r="F81" s="40">
        <v>0.5</v>
      </c>
      <c r="G81" s="52" t="e">
        <f>#REF!</f>
        <v>#REF!</v>
      </c>
      <c r="H81" s="52" t="str">
        <f>gradeGenericQuestion(D81,E81,F81,G81)</f>
        <v>2Exception</v>
      </c>
      <c r="J81" s="78"/>
      <c r="K81" s="78"/>
      <c r="L81" s="78"/>
      <c r="M81" s="78"/>
      <c r="N81" s="78"/>
      <c r="O81" s="78"/>
      <c r="P81" s="78"/>
    </row>
    <row r="82" spans="1:16" s="40" customFormat="1" x14ac:dyDescent="0.25">
      <c r="D82" s="40" t="s">
        <v>129</v>
      </c>
      <c r="E82" s="40">
        <v>625</v>
      </c>
      <c r="F82" s="40">
        <v>0.5</v>
      </c>
      <c r="G82" s="63" t="e">
        <f>#REF!</f>
        <v>#REF!</v>
      </c>
      <c r="H82" s="52" t="str">
        <f>gradeGenericQuestion(D82,E82,F82,G82)</f>
        <v>2Exception</v>
      </c>
      <c r="J82" s="78"/>
      <c r="K82" s="78"/>
      <c r="L82" s="78"/>
      <c r="M82" s="78"/>
      <c r="N82" s="78"/>
      <c r="O82" s="78"/>
      <c r="P82" s="78"/>
    </row>
    <row r="83" spans="1:16" s="40" customFormat="1" x14ac:dyDescent="0.25">
      <c r="D83" s="40" t="s">
        <v>128</v>
      </c>
      <c r="E83" s="40" t="s">
        <v>109</v>
      </c>
      <c r="F83" s="40">
        <v>0.5</v>
      </c>
      <c r="G83" s="52" t="e">
        <f>#REF!</f>
        <v>#REF!</v>
      </c>
      <c r="H83" s="52" t="str">
        <f>gradeGenericQuestion(D83,E83,F83,G83)</f>
        <v>2Exception</v>
      </c>
      <c r="J83" s="78"/>
      <c r="K83" s="78"/>
      <c r="L83" s="78"/>
      <c r="M83" s="78"/>
      <c r="N83" s="78"/>
      <c r="O83" s="78"/>
      <c r="P83" s="78"/>
    </row>
    <row r="84" spans="1:16" s="40" customFormat="1" x14ac:dyDescent="0.25">
      <c r="D84" s="40" t="s">
        <v>129</v>
      </c>
      <c r="E84" s="40">
        <v>625</v>
      </c>
      <c r="F84" s="40">
        <v>0.5</v>
      </c>
      <c r="G84" s="63" t="e">
        <f>#REF!</f>
        <v>#REF!</v>
      </c>
      <c r="H84" s="52" t="str">
        <f>gradeGenericQuestion(D84,E84,F84,G84)</f>
        <v>2Exception</v>
      </c>
      <c r="J84" s="78"/>
      <c r="K84" s="78"/>
      <c r="L84" s="78"/>
      <c r="M84" s="78"/>
      <c r="N84" s="78"/>
      <c r="O84" s="78"/>
      <c r="P84" s="78"/>
    </row>
    <row r="85" spans="1:16" s="40" customFormat="1" x14ac:dyDescent="0.25">
      <c r="C85" s="40" t="s">
        <v>130</v>
      </c>
      <c r="G85" s="52"/>
      <c r="H85" s="38">
        <f>SUM(H67:H70,H72:H79,H81:H84)</f>
        <v>0</v>
      </c>
      <c r="J85" s="78"/>
      <c r="K85" s="78"/>
      <c r="L85" s="78"/>
      <c r="M85" s="78"/>
      <c r="N85" s="78"/>
      <c r="O85" s="78"/>
      <c r="P85" s="78"/>
    </row>
    <row r="86" spans="1:16" s="40" customFormat="1" x14ac:dyDescent="0.25">
      <c r="G86" s="52"/>
      <c r="J86" s="78"/>
      <c r="K86" s="78"/>
      <c r="L86" s="78"/>
      <c r="M86" s="78"/>
      <c r="N86" s="78"/>
      <c r="O86" s="78"/>
      <c r="P86" s="78"/>
    </row>
    <row r="87" spans="1:16" s="40" customFormat="1" x14ac:dyDescent="0.25">
      <c r="A87" s="40">
        <v>3</v>
      </c>
      <c r="B87" s="40" t="s">
        <v>131</v>
      </c>
      <c r="C87" s="61">
        <v>43468</v>
      </c>
      <c r="D87" s="40" t="s">
        <v>128</v>
      </c>
      <c r="E87" s="40" t="s">
        <v>0</v>
      </c>
      <c r="F87" s="40">
        <v>0.5</v>
      </c>
      <c r="G87" s="40" t="e">
        <f>#REF!</f>
        <v>#REF!</v>
      </c>
      <c r="H87" s="52" t="str">
        <f>gradeGenericQuestion(D87,E87,F87,G87)</f>
        <v>2Exception</v>
      </c>
      <c r="J87" s="78"/>
      <c r="K87" s="78"/>
      <c r="L87" s="78"/>
      <c r="M87" s="78"/>
      <c r="N87" s="78"/>
      <c r="O87" s="78"/>
      <c r="P87" s="78"/>
    </row>
    <row r="88" spans="1:16" s="40" customFormat="1" x14ac:dyDescent="0.25">
      <c r="D88" s="40" t="s">
        <v>129</v>
      </c>
      <c r="E88" s="40">
        <v>1400000</v>
      </c>
      <c r="F88" s="40">
        <v>0.5</v>
      </c>
      <c r="G88" s="64" t="e">
        <f>#REF!</f>
        <v>#REF!</v>
      </c>
      <c r="H88" s="52" t="str">
        <f>gradeGenericQuestion(D88,E88,F88,G88)</f>
        <v>2Exception</v>
      </c>
      <c r="J88" s="78"/>
      <c r="K88" s="78"/>
      <c r="L88" s="78"/>
      <c r="M88" s="78"/>
      <c r="N88" s="78"/>
      <c r="O88" s="78"/>
      <c r="P88" s="78"/>
    </row>
    <row r="89" spans="1:16" s="40" customFormat="1" x14ac:dyDescent="0.25">
      <c r="D89" s="40" t="s">
        <v>128</v>
      </c>
      <c r="E89" s="40" t="s">
        <v>5</v>
      </c>
      <c r="F89" s="40">
        <v>0.5</v>
      </c>
      <c r="G89" s="40" t="e">
        <f>#REF!</f>
        <v>#REF!</v>
      </c>
      <c r="H89" s="52" t="str">
        <f>gradeGenericQuestion(D89,E89,F89,G89)</f>
        <v>2Exception</v>
      </c>
      <c r="J89" s="78"/>
      <c r="K89" s="78"/>
      <c r="L89" s="78"/>
      <c r="M89" s="78"/>
      <c r="N89" s="78"/>
      <c r="O89" s="78"/>
      <c r="P89" s="78"/>
    </row>
    <row r="90" spans="1:16" s="40" customFormat="1" x14ac:dyDescent="0.25">
      <c r="D90" s="40" t="s">
        <v>129</v>
      </c>
      <c r="E90" s="40">
        <v>1400000</v>
      </c>
      <c r="F90" s="40">
        <v>0.5</v>
      </c>
      <c r="G90" s="64" t="e">
        <f>#REF!</f>
        <v>#REF!</v>
      </c>
      <c r="H90" s="52" t="str">
        <f>gradeGenericQuestion(D90,E90,F90,G90)</f>
        <v>2Exception</v>
      </c>
      <c r="J90" s="78"/>
      <c r="K90" s="78"/>
      <c r="L90" s="78"/>
      <c r="M90" s="78"/>
      <c r="N90" s="78"/>
      <c r="O90" s="78"/>
      <c r="P90" s="78"/>
    </row>
    <row r="91" spans="1:16" s="40" customFormat="1" x14ac:dyDescent="0.25">
      <c r="J91" s="78"/>
      <c r="K91" s="78"/>
      <c r="L91" s="78"/>
      <c r="M91" s="78"/>
      <c r="N91" s="78"/>
      <c r="O91" s="78"/>
      <c r="P91" s="78"/>
    </row>
    <row r="92" spans="1:16" s="40" customFormat="1" x14ac:dyDescent="0.25">
      <c r="C92" s="61">
        <v>43471</v>
      </c>
      <c r="D92" s="40" t="s">
        <v>128</v>
      </c>
      <c r="E92" s="40" t="s">
        <v>0</v>
      </c>
      <c r="F92" s="40">
        <v>0.5</v>
      </c>
      <c r="G92" s="40" t="e">
        <f>#REF!</f>
        <v>#REF!</v>
      </c>
      <c r="H92" s="52" t="str">
        <f>gradeGenericQuestion(D92,E92,F92,G92)</f>
        <v>2Exception</v>
      </c>
      <c r="J92" s="78"/>
      <c r="K92" s="78"/>
      <c r="L92" s="78"/>
      <c r="M92" s="78"/>
      <c r="N92" s="78"/>
      <c r="O92" s="78"/>
      <c r="P92" s="78"/>
    </row>
    <row r="93" spans="1:16" s="40" customFormat="1" x14ac:dyDescent="0.25">
      <c r="D93" s="40" t="s">
        <v>129</v>
      </c>
      <c r="E93" s="65">
        <v>360000</v>
      </c>
      <c r="F93" s="40">
        <v>0.5</v>
      </c>
      <c r="G93" s="64" t="e">
        <f>#REF!</f>
        <v>#REF!</v>
      </c>
      <c r="H93" s="52" t="str">
        <f>gradeGenericQuestion(D93,E93,F93,G93)</f>
        <v>2Exception</v>
      </c>
      <c r="J93" s="78"/>
      <c r="K93" s="78"/>
      <c r="L93" s="78"/>
      <c r="M93" s="78"/>
      <c r="N93" s="78"/>
      <c r="O93" s="78"/>
      <c r="P93" s="78"/>
    </row>
    <row r="94" spans="1:16" s="40" customFormat="1" x14ac:dyDescent="0.25">
      <c r="D94" s="40" t="s">
        <v>132</v>
      </c>
      <c r="E94" s="40" t="s">
        <v>110</v>
      </c>
      <c r="F94" s="40">
        <v>0.5</v>
      </c>
      <c r="G94" s="40" t="e">
        <f>#REF!</f>
        <v>#REF!</v>
      </c>
      <c r="H94" s="52" t="str">
        <f>gradeGenericQuestion(D94,E94,F94,G94)</f>
        <v>2Exception</v>
      </c>
      <c r="J94" s="78"/>
      <c r="K94" s="78"/>
      <c r="L94" s="78"/>
      <c r="M94" s="78"/>
      <c r="N94" s="78"/>
      <c r="O94" s="78"/>
      <c r="P94" s="78"/>
    </row>
    <row r="95" spans="1:16" s="40" customFormat="1" x14ac:dyDescent="0.25">
      <c r="D95" s="40" t="s">
        <v>129</v>
      </c>
      <c r="E95" s="65">
        <v>360000</v>
      </c>
      <c r="F95" s="40">
        <v>0.5</v>
      </c>
      <c r="G95" s="64" t="e">
        <f>#REF!</f>
        <v>#REF!</v>
      </c>
      <c r="H95" s="52" t="str">
        <f>gradeGenericQuestion(D95,E95,F95,G95)</f>
        <v>2Exception</v>
      </c>
      <c r="J95" s="78"/>
      <c r="K95" s="78"/>
      <c r="L95" s="78"/>
      <c r="M95" s="78"/>
      <c r="N95" s="78"/>
      <c r="O95" s="78"/>
      <c r="P95" s="78"/>
    </row>
    <row r="96" spans="1:16" s="40" customFormat="1" x14ac:dyDescent="0.25">
      <c r="J96" s="78"/>
      <c r="K96" s="78"/>
      <c r="L96" s="78"/>
      <c r="M96" s="78"/>
      <c r="N96" s="78"/>
      <c r="O96" s="78"/>
      <c r="P96" s="78"/>
    </row>
    <row r="97" spans="2:16" s="40" customFormat="1" x14ac:dyDescent="0.25">
      <c r="C97" s="61">
        <v>43555</v>
      </c>
      <c r="D97" s="40" t="s">
        <v>128</v>
      </c>
      <c r="E97" s="40" t="s">
        <v>25</v>
      </c>
      <c r="F97" s="40">
        <v>0.5</v>
      </c>
      <c r="G97" s="40" t="e">
        <f>#REF!</f>
        <v>#REF!</v>
      </c>
      <c r="H97" s="52" t="str">
        <f>gradeGenericQuestion(D97,E97:E98,F97,G97)</f>
        <v>2Exception</v>
      </c>
      <c r="J97" s="78"/>
      <c r="K97" s="78"/>
      <c r="L97" s="78"/>
      <c r="M97" s="78"/>
      <c r="N97" s="78"/>
      <c r="O97" s="78"/>
      <c r="P97" s="78"/>
    </row>
    <row r="98" spans="2:16" s="40" customFormat="1" x14ac:dyDescent="0.25">
      <c r="C98" s="61"/>
      <c r="E98" s="40" t="s">
        <v>6</v>
      </c>
      <c r="J98" s="78"/>
      <c r="K98" s="78"/>
      <c r="L98" s="78"/>
      <c r="M98" s="78"/>
      <c r="N98" s="78"/>
      <c r="O98" s="78"/>
      <c r="P98" s="78"/>
    </row>
    <row r="99" spans="2:16" s="40" customFormat="1" x14ac:dyDescent="0.25">
      <c r="D99" s="40" t="s">
        <v>129</v>
      </c>
      <c r="E99" s="65">
        <v>720000</v>
      </c>
      <c r="F99" s="40">
        <v>0.5</v>
      </c>
      <c r="G99" s="66" t="e">
        <f>#REF!</f>
        <v>#REF!</v>
      </c>
      <c r="H99" s="52" t="str">
        <f>gradeGenericQuestion(D99,E99,F99,G99)</f>
        <v>2Exception</v>
      </c>
      <c r="J99" s="78"/>
      <c r="K99" s="78"/>
      <c r="L99" s="78"/>
      <c r="M99" s="78"/>
      <c r="N99" s="78"/>
      <c r="O99" s="78"/>
      <c r="P99" s="78"/>
    </row>
    <row r="100" spans="2:16" s="40" customFormat="1" x14ac:dyDescent="0.25">
      <c r="D100" s="40" t="s">
        <v>128</v>
      </c>
      <c r="E100" s="40" t="s">
        <v>39</v>
      </c>
      <c r="F100" s="40">
        <v>0.5</v>
      </c>
      <c r="G100" s="40" t="e">
        <f>#REF!</f>
        <v>#REF!</v>
      </c>
      <c r="H100" s="52" t="str">
        <f>gradeGenericQuestion(D100,E100,F100,G100)</f>
        <v>2Exception</v>
      </c>
      <c r="J100" s="78"/>
      <c r="K100" s="78"/>
      <c r="L100" s="78"/>
      <c r="M100" s="78"/>
      <c r="N100" s="78"/>
      <c r="O100" s="78"/>
      <c r="P100" s="78"/>
    </row>
    <row r="101" spans="2:16" s="40" customFormat="1" x14ac:dyDescent="0.25">
      <c r="D101" s="40" t="s">
        <v>129</v>
      </c>
      <c r="E101" s="65">
        <f>E99</f>
        <v>720000</v>
      </c>
      <c r="F101" s="40">
        <v>0.5</v>
      </c>
      <c r="G101" s="66" t="e">
        <f>#REF!</f>
        <v>#REF!</v>
      </c>
      <c r="H101" s="52" t="str">
        <f>gradeGenericQuestion(D101,E101,F101,G101)</f>
        <v>2Exception</v>
      </c>
      <c r="J101" s="78"/>
      <c r="K101" s="78"/>
      <c r="L101" s="78"/>
      <c r="M101" s="78"/>
      <c r="N101" s="78"/>
      <c r="O101" s="78"/>
      <c r="P101" s="78"/>
    </row>
    <row r="102" spans="2:16" s="40" customFormat="1" x14ac:dyDescent="0.25">
      <c r="J102" s="78"/>
      <c r="K102" s="78"/>
      <c r="L102" s="78"/>
      <c r="M102" s="78"/>
      <c r="N102" s="78"/>
      <c r="O102" s="78"/>
      <c r="P102" s="78"/>
    </row>
    <row r="103" spans="2:16" s="40" customFormat="1" x14ac:dyDescent="0.25">
      <c r="C103" s="61">
        <v>43567</v>
      </c>
      <c r="D103" s="40" t="s">
        <v>132</v>
      </c>
      <c r="E103" s="40" t="s">
        <v>25</v>
      </c>
      <c r="F103" s="40">
        <v>0.5</v>
      </c>
      <c r="G103" s="40" t="e">
        <f>#REF!</f>
        <v>#REF!</v>
      </c>
      <c r="H103" s="52" t="str">
        <f>gradeGenericQuestion(D103,E103:E104,F103,G103)</f>
        <v>2Exception</v>
      </c>
      <c r="J103" s="78"/>
      <c r="K103" s="78"/>
      <c r="L103" s="78"/>
      <c r="M103" s="78"/>
      <c r="N103" s="78"/>
      <c r="O103" s="78"/>
      <c r="P103" s="78"/>
    </row>
    <row r="104" spans="2:16" s="40" customFormat="1" x14ac:dyDescent="0.25">
      <c r="C104" s="61"/>
      <c r="E104" s="40" t="s">
        <v>6</v>
      </c>
      <c r="J104" s="78"/>
      <c r="K104" s="78"/>
      <c r="L104" s="78"/>
      <c r="M104" s="78"/>
      <c r="N104" s="78"/>
      <c r="O104" s="78"/>
      <c r="P104" s="78"/>
    </row>
    <row r="105" spans="2:16" s="40" customFormat="1" x14ac:dyDescent="0.25">
      <c r="D105" s="40" t="s">
        <v>129</v>
      </c>
      <c r="E105" s="65">
        <v>1380000</v>
      </c>
      <c r="F105" s="40">
        <v>0.5</v>
      </c>
      <c r="G105" s="66" t="e">
        <f>#REF!</f>
        <v>#REF!</v>
      </c>
      <c r="H105" s="52" t="str">
        <f>gradeGenericQuestion(D105,E105,F105,G105)</f>
        <v>2Exception</v>
      </c>
      <c r="J105" s="78"/>
      <c r="K105" s="78"/>
      <c r="L105" s="78"/>
      <c r="M105" s="78"/>
      <c r="N105" s="78"/>
      <c r="O105" s="78"/>
      <c r="P105" s="78"/>
    </row>
    <row r="106" spans="2:16" s="40" customFormat="1" x14ac:dyDescent="0.25">
      <c r="D106" s="40" t="s">
        <v>132</v>
      </c>
      <c r="E106" s="40" t="s">
        <v>39</v>
      </c>
      <c r="F106" s="40">
        <v>0.5</v>
      </c>
      <c r="G106" s="40" t="e">
        <f>#REF!</f>
        <v>#REF!</v>
      </c>
      <c r="H106" s="52" t="str">
        <f>gradeGenericQuestion(D106,E106,F106,G106)</f>
        <v>2Exception</v>
      </c>
      <c r="J106" s="78"/>
      <c r="K106" s="78"/>
      <c r="L106" s="78"/>
      <c r="M106" s="78"/>
      <c r="N106" s="78"/>
      <c r="O106" s="78"/>
      <c r="P106" s="78"/>
    </row>
    <row r="107" spans="2:16" s="40" customFormat="1" x14ac:dyDescent="0.25">
      <c r="D107" s="40" t="s">
        <v>129</v>
      </c>
      <c r="E107" s="65">
        <v>1380000</v>
      </c>
      <c r="F107" s="40">
        <v>0.5</v>
      </c>
      <c r="G107" s="66" t="e">
        <f>#REF!</f>
        <v>#REF!</v>
      </c>
      <c r="H107" s="52" t="str">
        <f>gradeGenericQuestion(D107,E107,F107,G107)</f>
        <v>2Exception</v>
      </c>
      <c r="J107" s="78"/>
      <c r="K107" s="78"/>
      <c r="L107" s="78"/>
      <c r="M107" s="78"/>
      <c r="N107" s="78"/>
      <c r="O107" s="78"/>
      <c r="P107" s="78"/>
    </row>
    <row r="108" spans="2:16" s="40" customFormat="1" x14ac:dyDescent="0.25">
      <c r="J108" s="78"/>
      <c r="K108" s="78"/>
      <c r="L108" s="78"/>
      <c r="M108" s="78"/>
      <c r="N108" s="78"/>
      <c r="O108" s="78"/>
      <c r="P108" s="78"/>
    </row>
    <row r="109" spans="2:16" s="40" customFormat="1" x14ac:dyDescent="0.25">
      <c r="B109" s="40" t="s">
        <v>133</v>
      </c>
      <c r="C109" s="40" t="s">
        <v>134</v>
      </c>
      <c r="D109" s="40" t="s">
        <v>129</v>
      </c>
      <c r="E109" s="65">
        <v>6200000</v>
      </c>
      <c r="F109" s="40">
        <v>0.5</v>
      </c>
      <c r="G109" s="40" t="e">
        <f>#REF!</f>
        <v>#REF!</v>
      </c>
      <c r="H109" s="52" t="str">
        <f>gradeGenericQuestion(D109,E109,F109,G109)</f>
        <v>2Exception</v>
      </c>
      <c r="J109" s="78"/>
      <c r="K109" s="78"/>
      <c r="L109" s="78"/>
      <c r="M109" s="78"/>
      <c r="N109" s="78"/>
      <c r="O109" s="78"/>
      <c r="P109" s="78"/>
    </row>
    <row r="110" spans="2:16" s="40" customFormat="1" x14ac:dyDescent="0.25">
      <c r="D110" s="40" t="s">
        <v>129</v>
      </c>
      <c r="E110" s="65">
        <v>6200000</v>
      </c>
      <c r="F110" s="40">
        <v>0.5</v>
      </c>
      <c r="G110" s="40" t="e">
        <f>#REF!</f>
        <v>#REF!</v>
      </c>
      <c r="H110" s="52" t="str">
        <f>gradeGenericQuestion(D110,E110,F110,G110)</f>
        <v>2Exception</v>
      </c>
      <c r="J110" s="78"/>
      <c r="K110" s="78"/>
      <c r="L110" s="78"/>
      <c r="M110" s="78"/>
      <c r="N110" s="78"/>
      <c r="O110" s="78"/>
      <c r="P110" s="78"/>
    </row>
    <row r="111" spans="2:16" s="40" customFormat="1" x14ac:dyDescent="0.25">
      <c r="J111" s="78"/>
      <c r="K111" s="78"/>
      <c r="L111" s="78"/>
      <c r="M111" s="78"/>
      <c r="N111" s="78"/>
      <c r="O111" s="78"/>
      <c r="P111" s="78"/>
    </row>
    <row r="112" spans="2:16" s="40" customFormat="1" x14ac:dyDescent="0.25">
      <c r="C112" s="40" t="s">
        <v>135</v>
      </c>
      <c r="D112" s="40" t="s">
        <v>129</v>
      </c>
      <c r="E112" s="65">
        <v>100000</v>
      </c>
      <c r="F112" s="40">
        <v>0.5</v>
      </c>
      <c r="G112" s="40" t="e">
        <f>#REF!</f>
        <v>#REF!</v>
      </c>
      <c r="H112" s="52" t="str">
        <f>gradeGenericQuestion(D112,E112,F112,G112)</f>
        <v>2Exception</v>
      </c>
      <c r="J112" s="78"/>
      <c r="K112" s="78"/>
      <c r="L112" s="78"/>
      <c r="M112" s="78"/>
      <c r="N112" s="78"/>
      <c r="O112" s="78"/>
      <c r="P112" s="78"/>
    </row>
    <row r="113" spans="3:16" s="40" customFormat="1" x14ac:dyDescent="0.25">
      <c r="D113" s="40" t="s">
        <v>129</v>
      </c>
      <c r="E113" s="65">
        <v>1400000</v>
      </c>
      <c r="F113" s="40">
        <v>0.5</v>
      </c>
      <c r="G113" s="40" t="e">
        <f>#REF!</f>
        <v>#REF!</v>
      </c>
      <c r="H113" s="52" t="str">
        <f>gradeGenericQuestion(D113,E113,F113,G113)</f>
        <v>2Exception</v>
      </c>
      <c r="J113" s="78"/>
      <c r="K113" s="78"/>
      <c r="L113" s="78"/>
      <c r="M113" s="78"/>
      <c r="N113" s="78"/>
      <c r="O113" s="78"/>
      <c r="P113" s="78"/>
    </row>
    <row r="114" spans="3:16" s="40" customFormat="1" x14ac:dyDescent="0.25">
      <c r="D114" s="40" t="s">
        <v>129</v>
      </c>
      <c r="E114" s="65">
        <v>12000</v>
      </c>
      <c r="F114" s="40">
        <v>0.5</v>
      </c>
      <c r="G114" s="40" t="e">
        <f>#REF!</f>
        <v>#REF!</v>
      </c>
      <c r="H114" s="52" t="str">
        <f>gradeGenericQuestion(D114,E114,F114,G114)</f>
        <v>2Exception</v>
      </c>
      <c r="J114" s="78"/>
      <c r="K114" s="78"/>
      <c r="L114" s="78"/>
      <c r="M114" s="78"/>
      <c r="N114" s="78"/>
      <c r="O114" s="78"/>
      <c r="P114" s="78"/>
    </row>
    <row r="115" spans="3:16" s="40" customFormat="1" x14ac:dyDescent="0.25">
      <c r="D115" s="40" t="s">
        <v>129</v>
      </c>
      <c r="E115" s="65">
        <v>360000</v>
      </c>
      <c r="F115" s="40">
        <v>0.5</v>
      </c>
      <c r="G115" s="40" t="e">
        <f>#REF!</f>
        <v>#REF!</v>
      </c>
      <c r="H115" s="52" t="str">
        <f>gradeGenericQuestion(D115,E115,F115,G115)</f>
        <v>2Exception</v>
      </c>
      <c r="J115" s="78"/>
      <c r="K115" s="78"/>
      <c r="L115" s="78"/>
      <c r="M115" s="78"/>
      <c r="N115" s="78"/>
      <c r="O115" s="78"/>
      <c r="P115" s="78"/>
    </row>
    <row r="116" spans="3:16" s="40" customFormat="1" x14ac:dyDescent="0.25">
      <c r="D116" s="40" t="s">
        <v>129</v>
      </c>
      <c r="E116" s="65">
        <v>1760000</v>
      </c>
      <c r="F116" s="40">
        <v>0.5</v>
      </c>
      <c r="G116" s="40" t="e">
        <f>#REF!</f>
        <v>#REF!</v>
      </c>
      <c r="H116" s="52" t="str">
        <f>gradeGenericQuestion(D116,E116,F116,G116)</f>
        <v>2Exception</v>
      </c>
      <c r="J116" s="78"/>
      <c r="K116" s="78"/>
      <c r="L116" s="78"/>
      <c r="M116" s="78"/>
      <c r="N116" s="78"/>
      <c r="O116" s="78"/>
      <c r="P116" s="78"/>
    </row>
    <row r="117" spans="3:16" s="40" customFormat="1" x14ac:dyDescent="0.25">
      <c r="J117" s="78"/>
      <c r="K117" s="78"/>
      <c r="L117" s="78"/>
      <c r="M117" s="78"/>
      <c r="N117" s="78"/>
      <c r="O117" s="78"/>
      <c r="P117" s="78"/>
    </row>
    <row r="118" spans="3:16" s="40" customFormat="1" x14ac:dyDescent="0.25">
      <c r="C118" s="40" t="s">
        <v>136</v>
      </c>
      <c r="D118" s="40" t="s">
        <v>129</v>
      </c>
      <c r="E118" s="65">
        <v>-2100000</v>
      </c>
      <c r="F118" s="40">
        <v>0.5</v>
      </c>
      <c r="G118" s="40" t="e">
        <f>#REF!</f>
        <v>#REF!</v>
      </c>
      <c r="H118" s="52" t="str">
        <f>gradeGenericQuestion(D118,E118:E119,F118,G118)</f>
        <v>2Exception</v>
      </c>
      <c r="J118" s="78"/>
      <c r="K118" s="78"/>
      <c r="L118" s="78"/>
      <c r="M118" s="78"/>
      <c r="N118" s="78"/>
      <c r="O118" s="78"/>
      <c r="P118" s="78"/>
    </row>
    <row r="119" spans="3:16" s="40" customFormat="1" x14ac:dyDescent="0.25">
      <c r="E119" s="65">
        <v>2100000</v>
      </c>
      <c r="F119" s="40">
        <v>0.5</v>
      </c>
      <c r="J119" s="78"/>
      <c r="K119" s="78"/>
      <c r="L119" s="78"/>
      <c r="M119" s="78"/>
      <c r="N119" s="78"/>
      <c r="O119" s="78"/>
      <c r="P119" s="78"/>
    </row>
    <row r="120" spans="3:16" s="40" customFormat="1" x14ac:dyDescent="0.25">
      <c r="D120" s="40" t="s">
        <v>129</v>
      </c>
      <c r="E120" s="65">
        <v>-2100000</v>
      </c>
      <c r="F120" s="40">
        <v>0.5</v>
      </c>
      <c r="G120" s="40" t="e">
        <f>#REF!</f>
        <v>#REF!</v>
      </c>
      <c r="H120" s="52" t="str">
        <f>gradeGenericQuestion(D120,E120:E121,F120,G120)</f>
        <v>2Exception</v>
      </c>
      <c r="J120" s="78"/>
      <c r="K120" s="78"/>
      <c r="L120" s="78"/>
      <c r="M120" s="78"/>
      <c r="N120" s="78"/>
      <c r="O120" s="78"/>
      <c r="P120" s="78"/>
    </row>
    <row r="121" spans="3:16" s="40" customFormat="1" x14ac:dyDescent="0.25">
      <c r="E121" s="65">
        <v>2100000</v>
      </c>
      <c r="F121" s="40">
        <v>0.5</v>
      </c>
      <c r="J121" s="78"/>
      <c r="K121" s="78"/>
      <c r="L121" s="78"/>
      <c r="M121" s="78"/>
      <c r="N121" s="78"/>
      <c r="O121" s="78"/>
      <c r="P121" s="78"/>
    </row>
    <row r="122" spans="3:16" s="40" customFormat="1" x14ac:dyDescent="0.25">
      <c r="J122" s="78"/>
      <c r="K122" s="78"/>
      <c r="L122" s="78"/>
      <c r="M122" s="78"/>
      <c r="N122" s="78"/>
      <c r="O122" s="78"/>
      <c r="P122" s="78"/>
    </row>
    <row r="123" spans="3:16" s="40" customFormat="1" x14ac:dyDescent="0.25">
      <c r="C123" s="40" t="s">
        <v>137</v>
      </c>
      <c r="D123" s="40" t="s">
        <v>129</v>
      </c>
      <c r="E123" s="65">
        <v>2300000</v>
      </c>
      <c r="F123" s="40">
        <v>0.5</v>
      </c>
      <c r="G123" s="40" t="e">
        <f>#REF!</f>
        <v>#REF!</v>
      </c>
      <c r="H123" s="52" t="str">
        <f t="shared" ref="H123:H128" si="1">gradeGenericQuestion(D123,E123,F123,G123)</f>
        <v>2Exception</v>
      </c>
      <c r="J123" s="78"/>
      <c r="K123" s="78"/>
      <c r="L123" s="78"/>
      <c r="M123" s="78"/>
      <c r="N123" s="78"/>
      <c r="O123" s="78"/>
      <c r="P123" s="78"/>
    </row>
    <row r="124" spans="3:16" s="40" customFormat="1" x14ac:dyDescent="0.25">
      <c r="D124" s="40" t="s">
        <v>129</v>
      </c>
      <c r="E124" s="65">
        <v>27800000</v>
      </c>
      <c r="F124" s="40">
        <v>0.5</v>
      </c>
      <c r="G124" s="40" t="e">
        <f>#REF!</f>
        <v>#REF!</v>
      </c>
      <c r="H124" s="52" t="str">
        <f t="shared" si="1"/>
        <v>2Exception</v>
      </c>
      <c r="J124" s="78"/>
      <c r="K124" s="78"/>
      <c r="L124" s="78"/>
      <c r="M124" s="78"/>
      <c r="N124" s="78"/>
      <c r="O124" s="78"/>
      <c r="P124" s="78"/>
    </row>
    <row r="125" spans="3:16" s="40" customFormat="1" x14ac:dyDescent="0.25">
      <c r="D125" s="40" t="s">
        <v>129</v>
      </c>
      <c r="E125" s="65">
        <v>262000</v>
      </c>
      <c r="F125" s="40">
        <v>0.5</v>
      </c>
      <c r="G125" s="40" t="e">
        <f>#REF!</f>
        <v>#REF!</v>
      </c>
      <c r="H125" s="52" t="str">
        <f t="shared" si="1"/>
        <v>2Exception</v>
      </c>
      <c r="J125" s="78"/>
      <c r="K125" s="78"/>
      <c r="L125" s="78"/>
      <c r="M125" s="78"/>
      <c r="N125" s="78"/>
      <c r="O125" s="78"/>
      <c r="P125" s="78"/>
    </row>
    <row r="126" spans="3:16" s="40" customFormat="1" x14ac:dyDescent="0.25">
      <c r="D126" s="40" t="s">
        <v>129</v>
      </c>
      <c r="E126" s="65">
        <v>7360000</v>
      </c>
      <c r="F126" s="40">
        <v>0.5</v>
      </c>
      <c r="G126" s="40" t="e">
        <f>#REF!</f>
        <v>#REF!</v>
      </c>
      <c r="H126" s="52" t="str">
        <f t="shared" si="1"/>
        <v>2Exception</v>
      </c>
      <c r="J126" s="78"/>
      <c r="K126" s="78"/>
      <c r="L126" s="78"/>
      <c r="M126" s="78"/>
      <c r="N126" s="78"/>
      <c r="O126" s="78"/>
      <c r="P126" s="78"/>
    </row>
    <row r="127" spans="3:16" s="40" customFormat="1" x14ac:dyDescent="0.25">
      <c r="D127" s="40" t="s">
        <v>129</v>
      </c>
      <c r="E127" s="65">
        <v>27100000</v>
      </c>
      <c r="F127" s="40">
        <v>0.5</v>
      </c>
      <c r="G127" s="40" t="e">
        <f>#REF!</f>
        <v>#REF!</v>
      </c>
      <c r="H127" s="52" t="str">
        <f t="shared" si="1"/>
        <v>2Exception</v>
      </c>
      <c r="J127" s="78"/>
      <c r="K127" s="78"/>
      <c r="L127" s="78"/>
      <c r="M127" s="78"/>
      <c r="N127" s="78"/>
      <c r="O127" s="78"/>
      <c r="P127" s="78"/>
    </row>
    <row r="128" spans="3:16" s="40" customFormat="1" x14ac:dyDescent="0.25">
      <c r="D128" s="40" t="s">
        <v>129</v>
      </c>
      <c r="E128" s="65">
        <v>62260000</v>
      </c>
      <c r="F128" s="40">
        <v>1</v>
      </c>
      <c r="G128" s="40" t="e">
        <f>#REF!</f>
        <v>#REF!</v>
      </c>
      <c r="H128" s="52" t="str">
        <f t="shared" si="1"/>
        <v>2Exception</v>
      </c>
      <c r="J128" s="78"/>
      <c r="K128" s="78"/>
      <c r="L128" s="78"/>
      <c r="M128" s="78"/>
      <c r="N128" s="78"/>
      <c r="O128" s="78"/>
      <c r="P128" s="78"/>
    </row>
    <row r="129" spans="1:16" s="40" customFormat="1" x14ac:dyDescent="0.25">
      <c r="C129" s="40" t="s">
        <v>130</v>
      </c>
      <c r="H129" s="38">
        <f>SUM(H87:H128)</f>
        <v>0</v>
      </c>
      <c r="J129" s="78"/>
      <c r="K129" s="78"/>
      <c r="L129" s="78"/>
      <c r="M129" s="78"/>
      <c r="N129" s="78"/>
      <c r="O129" s="78"/>
      <c r="P129" s="78"/>
    </row>
    <row r="130" spans="1:16" s="40" customFormat="1" x14ac:dyDescent="0.25">
      <c r="A130" s="40" t="s">
        <v>138</v>
      </c>
      <c r="B130" s="40" t="s">
        <v>139</v>
      </c>
      <c r="C130" s="40">
        <v>2020</v>
      </c>
      <c r="D130" s="40" t="s">
        <v>129</v>
      </c>
      <c r="E130" s="40">
        <v>1.39</v>
      </c>
      <c r="F130" s="40">
        <v>0.5</v>
      </c>
      <c r="G130" s="67" t="e">
        <f>ROUND(#REF!,2)</f>
        <v>#REF!</v>
      </c>
      <c r="H130" s="52" t="str">
        <f t="shared" ref="H130:H149" si="2">gradeGenericQuestion(D130,E130,F130,G130)</f>
        <v>2Exception</v>
      </c>
      <c r="J130" s="78"/>
      <c r="K130" s="78"/>
      <c r="L130" s="78"/>
      <c r="M130" s="78"/>
      <c r="N130" s="78"/>
      <c r="O130" s="78"/>
      <c r="P130" s="78"/>
    </row>
    <row r="131" spans="1:16" s="40" customFormat="1" x14ac:dyDescent="0.25">
      <c r="C131" s="40">
        <v>2019</v>
      </c>
      <c r="D131" s="40" t="s">
        <v>129</v>
      </c>
      <c r="E131" s="40">
        <v>1.36</v>
      </c>
      <c r="F131" s="40">
        <v>0.5</v>
      </c>
      <c r="G131" s="67" t="e">
        <f>ROUND(#REF!,2)</f>
        <v>#REF!</v>
      </c>
      <c r="H131" s="52" t="str">
        <f t="shared" si="2"/>
        <v>2Exception</v>
      </c>
      <c r="J131" s="78"/>
      <c r="K131" s="78"/>
      <c r="L131" s="78"/>
      <c r="M131" s="78"/>
      <c r="N131" s="78"/>
      <c r="O131" s="78"/>
      <c r="P131" s="78"/>
    </row>
    <row r="132" spans="1:16" s="40" customFormat="1" x14ac:dyDescent="0.25">
      <c r="C132" s="40" t="s">
        <v>140</v>
      </c>
      <c r="D132" s="40" t="s">
        <v>128</v>
      </c>
      <c r="E132" s="40" t="s">
        <v>112</v>
      </c>
      <c r="F132" s="40">
        <v>0.5</v>
      </c>
      <c r="G132" s="40" t="e">
        <f>#REF!</f>
        <v>#REF!</v>
      </c>
      <c r="H132" s="52" t="str">
        <f t="shared" si="2"/>
        <v>2Exception</v>
      </c>
      <c r="J132" s="78"/>
      <c r="K132" s="78"/>
      <c r="L132" s="78"/>
      <c r="M132" s="78"/>
      <c r="N132" s="78"/>
      <c r="O132" s="78"/>
      <c r="P132" s="78"/>
    </row>
    <row r="133" spans="1:16" s="40" customFormat="1" x14ac:dyDescent="0.25">
      <c r="B133" s="40" t="s">
        <v>141</v>
      </c>
      <c r="C133" s="40">
        <v>2020</v>
      </c>
      <c r="D133" s="40" t="s">
        <v>129</v>
      </c>
      <c r="E133" s="40">
        <v>1.19</v>
      </c>
      <c r="F133" s="40">
        <v>0.5</v>
      </c>
      <c r="G133" s="67" t="e">
        <f>ROUND(#REF!,2)</f>
        <v>#REF!</v>
      </c>
      <c r="H133" s="52" t="str">
        <f t="shared" si="2"/>
        <v>2Exception</v>
      </c>
      <c r="J133" s="78"/>
      <c r="K133" s="78"/>
      <c r="L133" s="78"/>
      <c r="M133" s="78"/>
      <c r="N133" s="78"/>
      <c r="O133" s="78"/>
      <c r="P133" s="78"/>
    </row>
    <row r="134" spans="1:16" s="40" customFormat="1" x14ac:dyDescent="0.25">
      <c r="C134" s="40">
        <v>2019</v>
      </c>
      <c r="D134" s="40" t="s">
        <v>129</v>
      </c>
      <c r="E134" s="84">
        <v>1.2</v>
      </c>
      <c r="F134" s="40">
        <v>0.5</v>
      </c>
      <c r="G134" s="67" t="e">
        <f>ROUND(#REF!,2)</f>
        <v>#REF!</v>
      </c>
      <c r="H134" s="52" t="str">
        <f t="shared" si="2"/>
        <v>2Exception</v>
      </c>
      <c r="J134" s="78"/>
      <c r="K134" s="78"/>
      <c r="L134" s="78"/>
      <c r="M134" s="78"/>
      <c r="N134" s="78"/>
      <c r="O134" s="78"/>
      <c r="P134" s="78"/>
    </row>
    <row r="135" spans="1:16" s="40" customFormat="1" x14ac:dyDescent="0.25">
      <c r="C135" s="40" t="s">
        <v>140</v>
      </c>
      <c r="D135" s="40" t="s">
        <v>128</v>
      </c>
      <c r="E135" s="40" t="s">
        <v>111</v>
      </c>
      <c r="F135" s="40">
        <v>0.5</v>
      </c>
      <c r="G135" s="40" t="e">
        <f>#REF!</f>
        <v>#REF!</v>
      </c>
      <c r="H135" s="52" t="str">
        <f t="shared" si="2"/>
        <v>2Exception</v>
      </c>
      <c r="J135" s="78"/>
      <c r="K135" s="78"/>
      <c r="L135" s="78"/>
      <c r="M135" s="78"/>
      <c r="N135" s="78"/>
      <c r="O135" s="78"/>
      <c r="P135" s="78"/>
    </row>
    <row r="136" spans="1:16" s="40" customFormat="1" x14ac:dyDescent="0.25">
      <c r="B136" s="40" t="s">
        <v>142</v>
      </c>
      <c r="D136" s="40" t="s">
        <v>129</v>
      </c>
      <c r="E136" s="40">
        <v>20.170000000000002</v>
      </c>
      <c r="F136" s="40">
        <v>0.5</v>
      </c>
      <c r="G136" s="67" t="e">
        <f>ROUND(#REF!,2)</f>
        <v>#REF!</v>
      </c>
      <c r="H136" s="52" t="str">
        <f t="shared" si="2"/>
        <v>2Exception</v>
      </c>
      <c r="J136" s="78"/>
      <c r="K136" s="78"/>
      <c r="L136" s="78"/>
      <c r="M136" s="78"/>
      <c r="N136" s="78"/>
      <c r="O136" s="78"/>
      <c r="P136" s="78"/>
    </row>
    <row r="137" spans="1:16" s="40" customFormat="1" x14ac:dyDescent="0.25">
      <c r="B137" s="40" t="s">
        <v>143</v>
      </c>
      <c r="D137" s="40" t="s">
        <v>129</v>
      </c>
      <c r="E137" s="40">
        <v>18.100000000000001</v>
      </c>
      <c r="F137" s="40">
        <v>0.5</v>
      </c>
      <c r="G137" s="67" t="e">
        <f>ROUND(#REF!,2)</f>
        <v>#REF!</v>
      </c>
      <c r="H137" s="52" t="str">
        <f t="shared" si="2"/>
        <v>2Exception</v>
      </c>
      <c r="J137" s="78"/>
      <c r="K137" s="78"/>
      <c r="L137" s="78"/>
      <c r="M137" s="78"/>
      <c r="N137" s="78"/>
      <c r="O137" s="78"/>
      <c r="P137" s="78"/>
    </row>
    <row r="138" spans="1:16" s="40" customFormat="1" x14ac:dyDescent="0.25">
      <c r="B138" s="40" t="s">
        <v>144</v>
      </c>
      <c r="D138" s="40" t="s">
        <v>129</v>
      </c>
      <c r="E138" s="40">
        <v>27.86</v>
      </c>
      <c r="F138" s="40">
        <v>0.5</v>
      </c>
      <c r="G138" s="67" t="e">
        <f>ROUND(#REF!,2)</f>
        <v>#REF!</v>
      </c>
      <c r="H138" s="52" t="str">
        <f t="shared" si="2"/>
        <v>2Exception</v>
      </c>
      <c r="J138" s="78"/>
      <c r="K138" s="78"/>
      <c r="L138" s="78"/>
      <c r="M138" s="78"/>
      <c r="N138" s="78"/>
      <c r="O138" s="78"/>
      <c r="P138" s="78"/>
    </row>
    <row r="139" spans="1:16" s="40" customFormat="1" x14ac:dyDescent="0.25">
      <c r="B139" s="40" t="s">
        <v>145</v>
      </c>
      <c r="D139" s="40" t="s">
        <v>129</v>
      </c>
      <c r="E139" s="40">
        <v>13.1</v>
      </c>
      <c r="F139" s="40">
        <v>0.5</v>
      </c>
      <c r="G139" s="67" t="e">
        <f>ROUND(#REF!,2)</f>
        <v>#REF!</v>
      </c>
      <c r="H139" s="52" t="str">
        <f t="shared" si="2"/>
        <v>2Exception</v>
      </c>
      <c r="J139" s="78"/>
      <c r="K139" s="78"/>
      <c r="L139" s="78"/>
      <c r="M139" s="78"/>
      <c r="N139" s="78"/>
      <c r="O139" s="78"/>
      <c r="P139" s="78"/>
    </row>
    <row r="140" spans="1:16" s="40" customFormat="1" x14ac:dyDescent="0.25">
      <c r="B140" s="40" t="s">
        <v>146</v>
      </c>
      <c r="D140" s="40" t="s">
        <v>129</v>
      </c>
      <c r="E140" s="40">
        <v>12.18</v>
      </c>
      <c r="F140" s="40">
        <v>0.5</v>
      </c>
      <c r="G140" s="67" t="e">
        <f>ROUND(#REF!,2)</f>
        <v>#REF!</v>
      </c>
      <c r="H140" s="52" t="str">
        <f t="shared" si="2"/>
        <v>2Exception</v>
      </c>
      <c r="J140" s="78"/>
      <c r="K140" s="78"/>
      <c r="L140" s="78"/>
      <c r="M140" s="78"/>
      <c r="N140" s="78"/>
      <c r="O140" s="78"/>
      <c r="P140" s="78"/>
    </row>
    <row r="141" spans="1:16" s="40" customFormat="1" x14ac:dyDescent="0.25">
      <c r="B141" s="40" t="s">
        <v>147</v>
      </c>
      <c r="D141" s="40" t="s">
        <v>129</v>
      </c>
      <c r="E141" s="40">
        <v>29.96</v>
      </c>
      <c r="F141" s="40">
        <v>0.5</v>
      </c>
      <c r="G141" s="67" t="e">
        <f>ROUND(#REF!,2)</f>
        <v>#REF!</v>
      </c>
      <c r="H141" s="52" t="str">
        <f t="shared" si="2"/>
        <v>2Exception</v>
      </c>
      <c r="J141" s="78"/>
      <c r="K141" s="78"/>
      <c r="L141" s="78"/>
      <c r="M141" s="78"/>
      <c r="N141" s="78"/>
      <c r="O141" s="78"/>
      <c r="P141" s="78"/>
    </row>
    <row r="142" spans="1:16" s="40" customFormat="1" x14ac:dyDescent="0.25">
      <c r="B142" s="40" t="s">
        <v>148</v>
      </c>
      <c r="C142" s="40">
        <v>2020</v>
      </c>
      <c r="D142" s="40" t="s">
        <v>129</v>
      </c>
      <c r="E142" s="68">
        <v>0.58169999999999999</v>
      </c>
      <c r="F142" s="40">
        <v>0.5</v>
      </c>
      <c r="G142" s="69" t="e">
        <f>ROUND(#REF!,4)</f>
        <v>#REF!</v>
      </c>
      <c r="H142" s="52" t="str">
        <f t="shared" si="2"/>
        <v>2Exception</v>
      </c>
      <c r="J142" s="78"/>
      <c r="K142" s="78"/>
      <c r="L142" s="78"/>
      <c r="M142" s="78"/>
      <c r="N142" s="78"/>
      <c r="O142" s="78"/>
      <c r="P142" s="78"/>
    </row>
    <row r="143" spans="1:16" s="40" customFormat="1" x14ac:dyDescent="0.25">
      <c r="C143" s="40">
        <v>2019</v>
      </c>
      <c r="D143" s="40" t="s">
        <v>129</v>
      </c>
      <c r="E143" s="68">
        <v>0.61099999999999999</v>
      </c>
      <c r="F143" s="40">
        <v>0.5</v>
      </c>
      <c r="G143" s="68" t="e">
        <f>ROUND(#REF!,4)</f>
        <v>#REF!</v>
      </c>
      <c r="H143" s="52" t="str">
        <f t="shared" si="2"/>
        <v>2Exception</v>
      </c>
      <c r="J143" s="78"/>
      <c r="K143" s="78"/>
      <c r="L143" s="78"/>
      <c r="M143" s="78"/>
      <c r="N143" s="78"/>
      <c r="O143" s="78"/>
      <c r="P143" s="78"/>
    </row>
    <row r="144" spans="1:16" s="40" customFormat="1" x14ac:dyDescent="0.25">
      <c r="C144" s="40" t="s">
        <v>140</v>
      </c>
      <c r="D144" s="40" t="s">
        <v>128</v>
      </c>
      <c r="E144" s="40" t="s">
        <v>111</v>
      </c>
      <c r="F144" s="40">
        <v>0.5</v>
      </c>
      <c r="G144" s="40" t="e">
        <f>#REF!</f>
        <v>#REF!</v>
      </c>
      <c r="H144" s="52" t="str">
        <f t="shared" si="2"/>
        <v>2Exception</v>
      </c>
      <c r="J144" s="78"/>
      <c r="K144" s="78"/>
      <c r="L144" s="78"/>
      <c r="M144" s="78"/>
      <c r="N144" s="78"/>
      <c r="O144" s="78"/>
      <c r="P144" s="78"/>
    </row>
    <row r="145" spans="1:16" s="40" customFormat="1" x14ac:dyDescent="0.25">
      <c r="B145" s="40" t="s">
        <v>149</v>
      </c>
      <c r="C145" s="40">
        <v>2020</v>
      </c>
      <c r="D145" s="40" t="s">
        <v>129</v>
      </c>
      <c r="E145" s="68">
        <v>0.14449999999999999</v>
      </c>
      <c r="F145" s="40">
        <v>0.5</v>
      </c>
      <c r="G145" s="68" t="e">
        <f>ROUND(#REF!,4)</f>
        <v>#REF!</v>
      </c>
      <c r="H145" s="52" t="str">
        <f t="shared" si="2"/>
        <v>2Exception</v>
      </c>
      <c r="J145" s="78"/>
      <c r="K145" s="78"/>
      <c r="L145" s="78"/>
      <c r="M145" s="78"/>
      <c r="N145" s="78"/>
      <c r="O145" s="78"/>
      <c r="P145" s="78"/>
    </row>
    <row r="146" spans="1:16" s="40" customFormat="1" x14ac:dyDescent="0.25">
      <c r="C146" s="40">
        <v>2019</v>
      </c>
      <c r="D146" s="40" t="s">
        <v>129</v>
      </c>
      <c r="E146" s="68">
        <v>0.1615</v>
      </c>
      <c r="F146" s="40">
        <v>0.5</v>
      </c>
      <c r="G146" s="68" t="e">
        <f>ROUND(#REF!,4)</f>
        <v>#REF!</v>
      </c>
      <c r="H146" s="52" t="str">
        <f t="shared" si="2"/>
        <v>2Exception</v>
      </c>
      <c r="J146" s="78"/>
      <c r="K146" s="78"/>
      <c r="L146" s="78"/>
      <c r="M146" s="78"/>
      <c r="N146" s="78"/>
      <c r="O146" s="78"/>
      <c r="P146" s="78"/>
    </row>
    <row r="147" spans="1:16" s="40" customFormat="1" x14ac:dyDescent="0.25">
      <c r="C147" s="40" t="s">
        <v>140</v>
      </c>
      <c r="D147" s="40" t="s">
        <v>128</v>
      </c>
      <c r="E147" s="40" t="s">
        <v>111</v>
      </c>
      <c r="F147" s="40">
        <v>0.5</v>
      </c>
      <c r="G147" s="40" t="e">
        <f>#REF!</f>
        <v>#REF!</v>
      </c>
      <c r="H147" s="52" t="str">
        <f t="shared" si="2"/>
        <v>2Exception</v>
      </c>
      <c r="J147" s="78"/>
      <c r="K147" s="78"/>
      <c r="L147" s="78"/>
      <c r="M147" s="78"/>
      <c r="N147" s="78"/>
      <c r="O147" s="78"/>
      <c r="P147" s="78"/>
    </row>
    <row r="148" spans="1:16" s="40" customFormat="1" x14ac:dyDescent="0.25">
      <c r="B148" s="40" t="s">
        <v>150</v>
      </c>
      <c r="D148" s="40" t="s">
        <v>129</v>
      </c>
      <c r="E148" s="68">
        <v>0.45419999999999999</v>
      </c>
      <c r="F148" s="40">
        <v>0.5</v>
      </c>
      <c r="G148" s="68" t="e">
        <f>ROUND(#REF!,4)</f>
        <v>#REF!</v>
      </c>
      <c r="H148" s="52" t="str">
        <f t="shared" si="2"/>
        <v>2Exception</v>
      </c>
      <c r="J148" s="78"/>
      <c r="K148" s="78"/>
      <c r="L148" s="78"/>
      <c r="M148" s="78"/>
      <c r="N148" s="78"/>
      <c r="O148" s="78"/>
      <c r="P148" s="78"/>
    </row>
    <row r="149" spans="1:16" s="40" customFormat="1" x14ac:dyDescent="0.25">
      <c r="B149" s="40" t="s">
        <v>151</v>
      </c>
      <c r="D149" s="40" t="s">
        <v>129</v>
      </c>
      <c r="E149" s="68">
        <v>0.67420000000000002</v>
      </c>
      <c r="F149" s="40">
        <v>0.5</v>
      </c>
      <c r="G149" s="68" t="e">
        <f>ROUND(#REF!,4)</f>
        <v>#REF!</v>
      </c>
      <c r="H149" s="52" t="str">
        <f t="shared" si="2"/>
        <v>2Exception</v>
      </c>
      <c r="J149" s="78"/>
      <c r="K149" s="78"/>
      <c r="L149" s="78"/>
      <c r="M149" s="78"/>
      <c r="N149" s="78"/>
      <c r="O149" s="78"/>
      <c r="P149" s="78"/>
    </row>
    <row r="150" spans="1:16" s="40" customFormat="1" x14ac:dyDescent="0.25">
      <c r="J150" s="78"/>
      <c r="K150" s="78"/>
      <c r="L150" s="78"/>
      <c r="M150" s="78"/>
      <c r="N150" s="78"/>
      <c r="O150" s="78"/>
      <c r="P150" s="78"/>
    </row>
    <row r="151" spans="1:16" s="40" customFormat="1" x14ac:dyDescent="0.25">
      <c r="B151" s="40" t="s">
        <v>152</v>
      </c>
      <c r="D151" s="40" t="s">
        <v>128</v>
      </c>
      <c r="H151" s="40">
        <v>2</v>
      </c>
      <c r="J151" s="78"/>
      <c r="K151" s="78"/>
      <c r="L151" s="78"/>
      <c r="M151" s="78"/>
      <c r="N151" s="78"/>
      <c r="O151" s="78"/>
      <c r="P151" s="78"/>
    </row>
    <row r="152" spans="1:16" s="40" customFormat="1" x14ac:dyDescent="0.25">
      <c r="B152" s="40" t="s">
        <v>153</v>
      </c>
      <c r="D152" s="40" t="s">
        <v>128</v>
      </c>
      <c r="H152" s="40">
        <v>2</v>
      </c>
      <c r="J152" s="78"/>
      <c r="K152" s="78"/>
      <c r="L152" s="78"/>
      <c r="M152" s="78"/>
      <c r="N152" s="78"/>
      <c r="O152" s="78"/>
      <c r="P152" s="78"/>
    </row>
    <row r="153" spans="1:16" s="40" customFormat="1" x14ac:dyDescent="0.25">
      <c r="B153" s="40" t="s">
        <v>154</v>
      </c>
      <c r="D153" s="40" t="s">
        <v>128</v>
      </c>
      <c r="H153" s="40">
        <v>2</v>
      </c>
      <c r="J153" s="78"/>
      <c r="K153" s="78"/>
      <c r="L153" s="78"/>
      <c r="M153" s="78"/>
      <c r="N153" s="78"/>
      <c r="O153" s="78"/>
      <c r="P153" s="78"/>
    </row>
    <row r="154" spans="1:16" s="40" customFormat="1" x14ac:dyDescent="0.25">
      <c r="C154" s="40" t="s">
        <v>130</v>
      </c>
      <c r="H154" s="38">
        <f>SUM(H130:H153)</f>
        <v>6</v>
      </c>
      <c r="J154" s="78"/>
      <c r="K154" s="78"/>
      <c r="L154" s="78"/>
      <c r="M154" s="78"/>
      <c r="N154" s="78"/>
      <c r="O154" s="78"/>
      <c r="P154" s="78"/>
    </row>
    <row r="155" spans="1:16" s="40" customFormat="1" x14ac:dyDescent="0.25">
      <c r="J155" s="78"/>
      <c r="K155" s="78"/>
      <c r="L155" s="78"/>
      <c r="M155" s="78"/>
      <c r="N155" s="78"/>
      <c r="O155" s="78"/>
      <c r="P155" s="78"/>
    </row>
    <row r="156" spans="1:16" s="40" customFormat="1" x14ac:dyDescent="0.25">
      <c r="A156" s="40" t="s">
        <v>155</v>
      </c>
      <c r="B156" s="40">
        <v>1</v>
      </c>
      <c r="D156" s="40" t="s">
        <v>128</v>
      </c>
      <c r="E156" s="40" t="s">
        <v>45</v>
      </c>
      <c r="F156" s="40">
        <v>1</v>
      </c>
      <c r="G156" s="40" t="e">
        <f>#REF!</f>
        <v>#REF!</v>
      </c>
      <c r="H156" s="52" t="str">
        <f t="shared" ref="H156:H170" si="3">gradeGenericQuestion(D156,E156,F156,G156)</f>
        <v>2Exception</v>
      </c>
      <c r="J156" s="78"/>
      <c r="K156" s="78"/>
      <c r="L156" s="78"/>
      <c r="M156" s="78"/>
      <c r="N156" s="78"/>
      <c r="O156" s="78"/>
      <c r="P156" s="78"/>
    </row>
    <row r="157" spans="1:16" s="40" customFormat="1" x14ac:dyDescent="0.25">
      <c r="B157" s="40">
        <v>2</v>
      </c>
      <c r="D157" s="40" t="s">
        <v>128</v>
      </c>
      <c r="E157" s="40" t="s">
        <v>44</v>
      </c>
      <c r="F157" s="40">
        <v>1</v>
      </c>
      <c r="G157" s="40" t="e">
        <f>#REF!</f>
        <v>#REF!</v>
      </c>
      <c r="H157" s="52" t="str">
        <f t="shared" si="3"/>
        <v>2Exception</v>
      </c>
      <c r="J157" s="78"/>
      <c r="K157" s="78"/>
      <c r="L157" s="78"/>
      <c r="M157" s="78"/>
      <c r="N157" s="78"/>
      <c r="O157" s="78"/>
      <c r="P157" s="78"/>
    </row>
    <row r="158" spans="1:16" s="40" customFormat="1" x14ac:dyDescent="0.25">
      <c r="B158" s="40">
        <v>3</v>
      </c>
      <c r="D158" s="40" t="s">
        <v>128</v>
      </c>
      <c r="E158" s="40" t="s">
        <v>43</v>
      </c>
      <c r="F158" s="40">
        <v>1</v>
      </c>
      <c r="G158" s="40" t="e">
        <f>#REF!</f>
        <v>#REF!</v>
      </c>
      <c r="H158" s="52" t="str">
        <f t="shared" si="3"/>
        <v>2Exception</v>
      </c>
      <c r="J158" s="78"/>
      <c r="K158" s="78"/>
      <c r="L158" s="78"/>
      <c r="M158" s="78"/>
      <c r="N158" s="78"/>
      <c r="O158" s="78"/>
      <c r="P158" s="78"/>
    </row>
    <row r="159" spans="1:16" s="40" customFormat="1" x14ac:dyDescent="0.25">
      <c r="B159" s="40">
        <v>4</v>
      </c>
      <c r="D159" s="40" t="s">
        <v>128</v>
      </c>
      <c r="E159" s="40" t="s">
        <v>46</v>
      </c>
      <c r="F159" s="40">
        <v>1</v>
      </c>
      <c r="G159" s="40" t="e">
        <f>#REF!</f>
        <v>#REF!</v>
      </c>
      <c r="H159" s="52" t="str">
        <f t="shared" si="3"/>
        <v>2Exception</v>
      </c>
      <c r="J159" s="78"/>
      <c r="K159" s="78"/>
      <c r="L159" s="78"/>
      <c r="M159" s="78"/>
      <c r="N159" s="78"/>
      <c r="O159" s="78"/>
      <c r="P159" s="78"/>
    </row>
    <row r="160" spans="1:16" s="40" customFormat="1" x14ac:dyDescent="0.25">
      <c r="B160" s="40">
        <v>5</v>
      </c>
      <c r="D160" s="40" t="s">
        <v>128</v>
      </c>
      <c r="E160" s="40" t="s">
        <v>46</v>
      </c>
      <c r="F160" s="40">
        <v>1</v>
      </c>
      <c r="G160" s="40" t="e">
        <f>#REF!</f>
        <v>#REF!</v>
      </c>
      <c r="H160" s="52" t="str">
        <f t="shared" si="3"/>
        <v>2Exception</v>
      </c>
      <c r="J160" s="78"/>
      <c r="K160" s="78"/>
      <c r="L160" s="78"/>
      <c r="M160" s="78"/>
      <c r="N160" s="78"/>
      <c r="O160" s="78"/>
      <c r="P160" s="78"/>
    </row>
    <row r="161" spans="1:16" s="40" customFormat="1" x14ac:dyDescent="0.25">
      <c r="B161" s="40">
        <v>6</v>
      </c>
      <c r="D161" s="40" t="s">
        <v>128</v>
      </c>
      <c r="E161" s="40" t="s">
        <v>43</v>
      </c>
      <c r="F161" s="40">
        <v>1</v>
      </c>
      <c r="G161" s="40" t="e">
        <f>#REF!</f>
        <v>#REF!</v>
      </c>
      <c r="H161" s="52" t="str">
        <f t="shared" si="3"/>
        <v>2Exception</v>
      </c>
      <c r="J161" s="78"/>
      <c r="K161" s="78"/>
      <c r="L161" s="78"/>
      <c r="M161" s="78"/>
      <c r="N161" s="78"/>
      <c r="O161" s="78"/>
      <c r="P161" s="78"/>
    </row>
    <row r="162" spans="1:16" s="40" customFormat="1" x14ac:dyDescent="0.25">
      <c r="B162" s="40">
        <v>7</v>
      </c>
      <c r="D162" s="40" t="s">
        <v>128</v>
      </c>
      <c r="E162" s="40" t="s">
        <v>45</v>
      </c>
      <c r="F162" s="40">
        <v>1</v>
      </c>
      <c r="G162" s="40" t="e">
        <f>#REF!</f>
        <v>#REF!</v>
      </c>
      <c r="H162" s="52" t="str">
        <f t="shared" si="3"/>
        <v>2Exception</v>
      </c>
      <c r="J162" s="78"/>
      <c r="K162" s="78"/>
      <c r="L162" s="78"/>
      <c r="M162" s="78"/>
      <c r="N162" s="78"/>
      <c r="O162" s="78"/>
      <c r="P162" s="78"/>
    </row>
    <row r="163" spans="1:16" s="40" customFormat="1" x14ac:dyDescent="0.25">
      <c r="B163" s="40">
        <v>8</v>
      </c>
      <c r="D163" s="40" t="s">
        <v>128</v>
      </c>
      <c r="E163" s="40" t="s">
        <v>43</v>
      </c>
      <c r="F163" s="40">
        <v>1</v>
      </c>
      <c r="G163" s="40" t="e">
        <f>#REF!</f>
        <v>#REF!</v>
      </c>
      <c r="H163" s="52" t="str">
        <f t="shared" si="3"/>
        <v>2Exception</v>
      </c>
      <c r="J163" s="78"/>
      <c r="K163" s="78"/>
      <c r="L163" s="78"/>
      <c r="M163" s="78"/>
      <c r="N163" s="78"/>
      <c r="O163" s="78"/>
      <c r="P163" s="78"/>
    </row>
    <row r="164" spans="1:16" s="40" customFormat="1" x14ac:dyDescent="0.25">
      <c r="B164" s="40">
        <v>9</v>
      </c>
      <c r="D164" s="40" t="s">
        <v>128</v>
      </c>
      <c r="E164" s="40" t="s">
        <v>43</v>
      </c>
      <c r="F164" s="40">
        <v>1</v>
      </c>
      <c r="G164" s="40" t="e">
        <f>#REF!</f>
        <v>#REF!</v>
      </c>
      <c r="H164" s="52" t="str">
        <f t="shared" si="3"/>
        <v>2Exception</v>
      </c>
      <c r="J164" s="78"/>
      <c r="K164" s="78"/>
      <c r="L164" s="78"/>
      <c r="M164" s="78"/>
      <c r="N164" s="78"/>
      <c r="O164" s="78"/>
      <c r="P164" s="78"/>
    </row>
    <row r="165" spans="1:16" s="40" customFormat="1" x14ac:dyDescent="0.25">
      <c r="B165" s="40">
        <v>10</v>
      </c>
      <c r="D165" s="40" t="s">
        <v>128</v>
      </c>
      <c r="E165" s="40" t="s">
        <v>45</v>
      </c>
      <c r="F165" s="40">
        <v>1</v>
      </c>
      <c r="G165" s="40" t="e">
        <f>#REF!</f>
        <v>#REF!</v>
      </c>
      <c r="H165" s="52" t="str">
        <f t="shared" si="3"/>
        <v>2Exception</v>
      </c>
      <c r="J165" s="78"/>
      <c r="K165" s="78"/>
      <c r="L165" s="78"/>
      <c r="M165" s="78"/>
      <c r="N165" s="78"/>
      <c r="O165" s="78"/>
      <c r="P165" s="78"/>
    </row>
    <row r="166" spans="1:16" s="40" customFormat="1" x14ac:dyDescent="0.25">
      <c r="B166" s="40">
        <v>11</v>
      </c>
      <c r="D166" s="40" t="s">
        <v>128</v>
      </c>
      <c r="E166" s="40" t="s">
        <v>44</v>
      </c>
      <c r="F166" s="40">
        <v>1</v>
      </c>
      <c r="G166" s="40" t="e">
        <f>#REF!</f>
        <v>#REF!</v>
      </c>
      <c r="H166" s="52" t="str">
        <f t="shared" si="3"/>
        <v>2Exception</v>
      </c>
    </row>
    <row r="167" spans="1:16" s="40" customFormat="1" x14ac:dyDescent="0.25">
      <c r="B167" s="40">
        <v>12</v>
      </c>
      <c r="D167" s="40" t="s">
        <v>128</v>
      </c>
      <c r="E167" s="40" t="s">
        <v>46</v>
      </c>
      <c r="F167" s="40">
        <v>1</v>
      </c>
      <c r="G167" s="40" t="e">
        <f>#REF!</f>
        <v>#REF!</v>
      </c>
      <c r="H167" s="52" t="str">
        <f t="shared" si="3"/>
        <v>2Exception</v>
      </c>
    </row>
    <row r="168" spans="1:16" s="40" customFormat="1" x14ac:dyDescent="0.25">
      <c r="B168" s="40">
        <v>13</v>
      </c>
      <c r="D168" s="40" t="s">
        <v>128</v>
      </c>
      <c r="E168" s="40" t="s">
        <v>44</v>
      </c>
      <c r="F168" s="40">
        <v>1</v>
      </c>
      <c r="G168" s="40" t="e">
        <f>#REF!</f>
        <v>#REF!</v>
      </c>
      <c r="H168" s="52" t="str">
        <f t="shared" si="3"/>
        <v>2Exception</v>
      </c>
    </row>
    <row r="169" spans="1:16" s="40" customFormat="1" x14ac:dyDescent="0.25">
      <c r="B169" s="40">
        <v>14</v>
      </c>
      <c r="D169" s="40" t="s">
        <v>128</v>
      </c>
      <c r="E169" s="40" t="s">
        <v>73</v>
      </c>
      <c r="F169" s="40">
        <v>1</v>
      </c>
      <c r="G169" s="40" t="e">
        <f>#REF!</f>
        <v>#REF!</v>
      </c>
      <c r="H169" s="52" t="str">
        <f t="shared" si="3"/>
        <v>2Exception</v>
      </c>
    </row>
    <row r="170" spans="1:16" s="40" customFormat="1" x14ac:dyDescent="0.25">
      <c r="B170" s="40">
        <v>15</v>
      </c>
      <c r="D170" s="40" t="s">
        <v>128</v>
      </c>
      <c r="E170" s="40" t="s">
        <v>73</v>
      </c>
      <c r="F170" s="40">
        <v>1</v>
      </c>
      <c r="G170" s="40" t="e">
        <f>#REF!</f>
        <v>#REF!</v>
      </c>
      <c r="H170" s="52" t="str">
        <f t="shared" si="3"/>
        <v>2Exception</v>
      </c>
    </row>
    <row r="171" spans="1:16" s="40" customFormat="1" x14ac:dyDescent="0.25">
      <c r="C171" s="40" t="s">
        <v>130</v>
      </c>
      <c r="H171" s="38">
        <f>SUM(H156:H170)</f>
        <v>0</v>
      </c>
    </row>
    <row r="172" spans="1:16" x14ac:dyDescent="0.25">
      <c r="A172" s="40"/>
      <c r="B172" s="40"/>
      <c r="C172" s="40"/>
      <c r="D172" s="40"/>
      <c r="E172" s="40"/>
      <c r="F172" s="40"/>
      <c r="G172" s="40"/>
      <c r="H172" s="40"/>
      <c r="I172" s="40"/>
    </row>
  </sheetData>
  <sheetProtection algorithmName="SHA-512" hashValue="kQ8RVpJ7YD7oIZb3Yay/7MCC32DnCoEoiQjlcSQg5MDM9LANg3y1j9xwBg1J9NECrDn2kbpwlfQ5+RcLL++9Gw==" saltValue="H3h2PePaNuqMCaNmfLdbyA==" spinCount="100000" sheet="1" objects="1" scenarios="1"/>
  <mergeCells count="4">
    <mergeCell ref="H10:J10"/>
    <mergeCell ref="G33:M33"/>
    <mergeCell ref="G34:M34"/>
    <mergeCell ref="F35:M36"/>
  </mergeCells>
  <pageMargins left="0.7" right="0.7" top="0.75" bottom="0.75" header="0.3" footer="0.3"/>
  <pageSetup scale="54" orientation="landscape" r:id="rId1"/>
  <ignoredErrors>
    <ignoredError sqref="H43" formulaRange="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C7D5B-9EAB-45CB-8B7B-08F17DFEF942}">
  <sheetPr codeName="Sheet3"/>
  <dimension ref="A1:A37"/>
  <sheetViews>
    <sheetView workbookViewId="0"/>
  </sheetViews>
  <sheetFormatPr defaultRowHeight="15" x14ac:dyDescent="0.25"/>
  <cols>
    <col min="1" max="1" width="53.28515625" customWidth="1"/>
  </cols>
  <sheetData>
    <row r="1" spans="1:1" x14ac:dyDescent="0.25">
      <c r="A1" s="43" t="s">
        <v>11</v>
      </c>
    </row>
    <row r="2" spans="1:1" x14ac:dyDescent="0.25">
      <c r="A2" s="44" t="s">
        <v>15</v>
      </c>
    </row>
    <row r="3" spans="1:1" x14ac:dyDescent="0.25">
      <c r="A3" s="45" t="s">
        <v>18</v>
      </c>
    </row>
    <row r="4" spans="1:1" x14ac:dyDescent="0.25">
      <c r="A4" s="44" t="s">
        <v>21</v>
      </c>
    </row>
    <row r="5" spans="1:1" x14ac:dyDescent="0.25">
      <c r="A5" s="45" t="s">
        <v>0</v>
      </c>
    </row>
    <row r="6" spans="1:1" x14ac:dyDescent="0.25">
      <c r="A6" s="44" t="s">
        <v>5</v>
      </c>
    </row>
    <row r="7" spans="1:1" x14ac:dyDescent="0.25">
      <c r="A7" s="45" t="s">
        <v>24</v>
      </c>
    </row>
    <row r="8" spans="1:1" x14ac:dyDescent="0.25">
      <c r="A8" s="44" t="s">
        <v>26</v>
      </c>
    </row>
    <row r="9" spans="1:1" x14ac:dyDescent="0.25">
      <c r="A9" s="45" t="s">
        <v>25</v>
      </c>
    </row>
    <row r="10" spans="1:1" x14ac:dyDescent="0.25">
      <c r="A10" s="44" t="s">
        <v>39</v>
      </c>
    </row>
    <row r="11" spans="1:1" x14ac:dyDescent="0.25">
      <c r="A11" s="45" t="s">
        <v>4</v>
      </c>
    </row>
    <row r="12" spans="1:1" x14ac:dyDescent="0.25">
      <c r="A12" s="45" t="s">
        <v>108</v>
      </c>
    </row>
    <row r="13" spans="1:1" x14ac:dyDescent="0.25">
      <c r="A13" s="44" t="s">
        <v>42</v>
      </c>
    </row>
    <row r="14" spans="1:1" x14ac:dyDescent="0.25">
      <c r="A14" s="45" t="s">
        <v>40</v>
      </c>
    </row>
    <row r="15" spans="1:1" x14ac:dyDescent="0.25">
      <c r="A15" s="44" t="s">
        <v>41</v>
      </c>
    </row>
    <row r="16" spans="1:1" x14ac:dyDescent="0.25">
      <c r="A16" s="45" t="s">
        <v>9</v>
      </c>
    </row>
    <row r="17" spans="1:1" x14ac:dyDescent="0.25">
      <c r="A17" s="44" t="s">
        <v>28</v>
      </c>
    </row>
    <row r="18" spans="1:1" x14ac:dyDescent="0.25">
      <c r="A18" s="45" t="s">
        <v>29</v>
      </c>
    </row>
    <row r="19" spans="1:1" x14ac:dyDescent="0.25">
      <c r="A19" s="44" t="s">
        <v>30</v>
      </c>
    </row>
    <row r="20" spans="1:1" x14ac:dyDescent="0.25">
      <c r="A20" s="45" t="s">
        <v>3</v>
      </c>
    </row>
    <row r="21" spans="1:1" x14ac:dyDescent="0.25">
      <c r="A21" s="44" t="s">
        <v>31</v>
      </c>
    </row>
    <row r="22" spans="1:1" x14ac:dyDescent="0.25">
      <c r="A22" s="45" t="s">
        <v>32</v>
      </c>
    </row>
    <row r="23" spans="1:1" x14ac:dyDescent="0.25">
      <c r="A23" s="44" t="s">
        <v>33</v>
      </c>
    </row>
    <row r="24" spans="1:1" x14ac:dyDescent="0.25">
      <c r="A24" s="45" t="s">
        <v>2</v>
      </c>
    </row>
    <row r="25" spans="1:1" x14ac:dyDescent="0.25">
      <c r="A25" s="44" t="s">
        <v>1</v>
      </c>
    </row>
    <row r="26" spans="1:1" x14ac:dyDescent="0.25">
      <c r="A26" s="45" t="s">
        <v>34</v>
      </c>
    </row>
    <row r="27" spans="1:1" x14ac:dyDescent="0.25">
      <c r="A27" s="44" t="s">
        <v>6</v>
      </c>
    </row>
    <row r="28" spans="1:1" x14ac:dyDescent="0.25">
      <c r="A28" s="45" t="s">
        <v>109</v>
      </c>
    </row>
    <row r="29" spans="1:1" x14ac:dyDescent="0.25">
      <c r="A29" s="44" t="s">
        <v>35</v>
      </c>
    </row>
    <row r="30" spans="1:1" x14ac:dyDescent="0.25">
      <c r="A30" s="45" t="s">
        <v>36</v>
      </c>
    </row>
    <row r="31" spans="1:1" x14ac:dyDescent="0.25">
      <c r="A31" s="44"/>
    </row>
    <row r="32" spans="1:1" x14ac:dyDescent="0.25">
      <c r="A32" s="45" t="s">
        <v>37</v>
      </c>
    </row>
    <row r="33" spans="1:1" x14ac:dyDescent="0.25">
      <c r="A33" s="44" t="s">
        <v>47</v>
      </c>
    </row>
    <row r="34" spans="1:1" x14ac:dyDescent="0.25">
      <c r="A34" s="45" t="s">
        <v>10</v>
      </c>
    </row>
    <row r="35" spans="1:1" x14ac:dyDescent="0.25">
      <c r="A35" s="44" t="s">
        <v>38</v>
      </c>
    </row>
    <row r="36" spans="1:1" x14ac:dyDescent="0.25">
      <c r="A36" s="44"/>
    </row>
    <row r="37" spans="1:1" x14ac:dyDescent="0.25">
      <c r="A37" s="45"/>
    </row>
  </sheetData>
  <sheetProtection algorithmName="SHA-512" hashValue="tO1iMa0Tjxui1rbUzbKUICJhaELZv5fUTyjAdBMEArcKKcAOsYJGplBRmkDoGwknWONrk/qrTbIYYjdDohN27Q==" saltValue="mEZ1Z2P0GWP0nYat5bDoPQ==" spinCount="100000" sheet="1" objects="1" scenarios="1"/>
  <sortState xmlns:xlrd2="http://schemas.microsoft.com/office/spreadsheetml/2017/richdata2" ref="A2:A35">
    <sortCondition ref="A2:A3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43412-5FD3-4953-B5CA-5425F5D9980B}">
  <sheetPr codeName="Sheet2"/>
  <dimension ref="A1:Q71"/>
  <sheetViews>
    <sheetView workbookViewId="0">
      <selection activeCell="G9" sqref="G9"/>
    </sheetView>
  </sheetViews>
  <sheetFormatPr defaultRowHeight="15" x14ac:dyDescent="0.25"/>
  <cols>
    <col min="1" max="1" width="21.7109375" customWidth="1"/>
    <col min="2" max="2" width="22" customWidth="1"/>
    <col min="3" max="3" width="10.28515625" bestFit="1" customWidth="1"/>
    <col min="4" max="4" width="19" customWidth="1"/>
    <col min="9" max="9" width="28.7109375" customWidth="1"/>
  </cols>
  <sheetData>
    <row r="1" spans="1:17" ht="31.5" x14ac:dyDescent="0.25">
      <c r="A1" s="88" t="s">
        <v>161</v>
      </c>
      <c r="D1" t="s">
        <v>184</v>
      </c>
      <c r="H1" t="s">
        <v>172</v>
      </c>
      <c r="I1" s="124" t="s">
        <v>474</v>
      </c>
      <c r="K1" s="94" t="s">
        <v>48</v>
      </c>
    </row>
    <row r="2" spans="1:17" ht="48.6" customHeight="1" x14ac:dyDescent="0.25">
      <c r="A2" s="158" t="s">
        <v>475</v>
      </c>
      <c r="B2" s="159"/>
      <c r="C2" s="159"/>
      <c r="D2" s="159"/>
      <c r="E2" s="159"/>
      <c r="F2" s="159"/>
      <c r="G2" s="159"/>
      <c r="H2" s="159"/>
      <c r="I2" s="159"/>
      <c r="J2" s="159"/>
      <c r="K2" s="159"/>
      <c r="L2" s="159"/>
      <c r="M2" s="159"/>
      <c r="N2" s="159"/>
      <c r="O2" s="159"/>
    </row>
    <row r="3" spans="1:17" ht="79.900000000000006" customHeight="1" x14ac:dyDescent="0.25">
      <c r="A3" s="160" t="s">
        <v>190</v>
      </c>
      <c r="B3" s="159"/>
      <c r="C3" s="159"/>
      <c r="D3" s="159"/>
      <c r="E3" s="159"/>
      <c r="F3" s="159"/>
    </row>
    <row r="4" spans="1:17" x14ac:dyDescent="0.25">
      <c r="N4" s="144" t="s">
        <v>571</v>
      </c>
      <c r="O4" s="144"/>
      <c r="P4" s="144"/>
      <c r="Q4" s="144"/>
    </row>
    <row r="5" spans="1:17" x14ac:dyDescent="0.25">
      <c r="A5" s="86" t="s">
        <v>185</v>
      </c>
      <c r="B5" s="86" t="s">
        <v>186</v>
      </c>
      <c r="C5" s="86" t="s">
        <v>464</v>
      </c>
      <c r="N5" s="144" t="s">
        <v>508</v>
      </c>
    </row>
    <row r="6" spans="1:17" x14ac:dyDescent="0.25">
      <c r="A6" s="86" t="s">
        <v>346</v>
      </c>
      <c r="B6" s="86">
        <v>40</v>
      </c>
      <c r="C6" s="121" t="s">
        <v>470</v>
      </c>
      <c r="D6" s="93"/>
      <c r="N6" s="144" t="s">
        <v>509</v>
      </c>
    </row>
    <row r="7" spans="1:17" x14ac:dyDescent="0.25">
      <c r="A7" t="s">
        <v>465</v>
      </c>
      <c r="B7">
        <v>80</v>
      </c>
      <c r="C7" s="92" t="s">
        <v>467</v>
      </c>
      <c r="D7" s="93"/>
      <c r="N7" s="144" t="s">
        <v>510</v>
      </c>
    </row>
    <row r="8" spans="1:17" x14ac:dyDescent="0.25">
      <c r="A8" t="s">
        <v>468</v>
      </c>
      <c r="B8">
        <v>15</v>
      </c>
      <c r="C8" s="92" t="s">
        <v>467</v>
      </c>
      <c r="D8" s="93"/>
      <c r="N8" s="144" t="s">
        <v>511</v>
      </c>
    </row>
    <row r="9" spans="1:17" x14ac:dyDescent="0.25">
      <c r="A9" t="s">
        <v>400</v>
      </c>
      <c r="B9">
        <v>70</v>
      </c>
      <c r="C9" s="92" t="s">
        <v>471</v>
      </c>
      <c r="D9" s="93"/>
      <c r="N9" s="144" t="s">
        <v>512</v>
      </c>
    </row>
    <row r="10" spans="1:17" x14ac:dyDescent="0.25">
      <c r="A10" t="s">
        <v>344</v>
      </c>
      <c r="B10">
        <v>90</v>
      </c>
      <c r="C10" s="92" t="s">
        <v>472</v>
      </c>
      <c r="D10" s="93"/>
    </row>
    <row r="11" spans="1:17" x14ac:dyDescent="0.25">
      <c r="C11" s="92"/>
      <c r="D11" s="93"/>
    </row>
    <row r="12" spans="1:17" x14ac:dyDescent="0.25">
      <c r="C12" s="92"/>
      <c r="D12" s="93"/>
    </row>
    <row r="13" spans="1:17" x14ac:dyDescent="0.25">
      <c r="C13" s="92"/>
    </row>
    <row r="14" spans="1:17" x14ac:dyDescent="0.25">
      <c r="C14" s="92"/>
    </row>
    <row r="15" spans="1:17" x14ac:dyDescent="0.25">
      <c r="C15" s="92"/>
    </row>
    <row r="16" spans="1:17" x14ac:dyDescent="0.25">
      <c r="C16" s="92"/>
    </row>
    <row r="17" spans="3:3" x14ac:dyDescent="0.25">
      <c r="C17" s="92"/>
    </row>
    <row r="18" spans="3:3" x14ac:dyDescent="0.25">
      <c r="C18" s="92"/>
    </row>
    <row r="19" spans="3:3" x14ac:dyDescent="0.25">
      <c r="C19" s="92"/>
    </row>
    <row r="20" spans="3:3" x14ac:dyDescent="0.25">
      <c r="C20" s="92"/>
    </row>
    <row r="21" spans="3:3" x14ac:dyDescent="0.25">
      <c r="C21" s="92"/>
    </row>
    <row r="22" spans="3:3" x14ac:dyDescent="0.25">
      <c r="C22" s="92"/>
    </row>
    <row r="23" spans="3:3" x14ac:dyDescent="0.25">
      <c r="C23" s="92"/>
    </row>
    <row r="24" spans="3:3" x14ac:dyDescent="0.25">
      <c r="C24" s="92"/>
    </row>
    <row r="25" spans="3:3" x14ac:dyDescent="0.25">
      <c r="C25" s="92"/>
    </row>
    <row r="26" spans="3:3" x14ac:dyDescent="0.25">
      <c r="C26" s="92"/>
    </row>
    <row r="27" spans="3:3" x14ac:dyDescent="0.25">
      <c r="C27" s="92"/>
    </row>
    <row r="28" spans="3:3" x14ac:dyDescent="0.25">
      <c r="C28" s="92"/>
    </row>
    <row r="29" spans="3:3" x14ac:dyDescent="0.25">
      <c r="C29" s="92"/>
    </row>
    <row r="30" spans="3:3" x14ac:dyDescent="0.25">
      <c r="C30" s="92"/>
    </row>
    <row r="31" spans="3:3" x14ac:dyDescent="0.25">
      <c r="C31" s="92"/>
    </row>
    <row r="32" spans="3:3" x14ac:dyDescent="0.25">
      <c r="C32" s="92"/>
    </row>
    <row r="33" spans="3:3" x14ac:dyDescent="0.25">
      <c r="C33" s="92"/>
    </row>
    <row r="34" spans="3:3" x14ac:dyDescent="0.25">
      <c r="C34" s="92"/>
    </row>
    <row r="35" spans="3:3" x14ac:dyDescent="0.25">
      <c r="C35" s="92"/>
    </row>
    <row r="36" spans="3:3" x14ac:dyDescent="0.25">
      <c r="C36" s="92"/>
    </row>
    <row r="37" spans="3:3" x14ac:dyDescent="0.25">
      <c r="C37" s="92"/>
    </row>
    <row r="38" spans="3:3" x14ac:dyDescent="0.25">
      <c r="C38" s="92"/>
    </row>
    <row r="39" spans="3:3" x14ac:dyDescent="0.25">
      <c r="C39" s="92"/>
    </row>
    <row r="40" spans="3:3" x14ac:dyDescent="0.25">
      <c r="C40" s="92"/>
    </row>
    <row r="41" spans="3:3" x14ac:dyDescent="0.25">
      <c r="C41" s="92"/>
    </row>
    <row r="42" spans="3:3" x14ac:dyDescent="0.25">
      <c r="C42" s="92"/>
    </row>
    <row r="43" spans="3:3" x14ac:dyDescent="0.25">
      <c r="C43" s="92"/>
    </row>
    <row r="44" spans="3:3" x14ac:dyDescent="0.25">
      <c r="C44" s="92"/>
    </row>
    <row r="45" spans="3:3" x14ac:dyDescent="0.25">
      <c r="C45" s="92"/>
    </row>
    <row r="46" spans="3:3" x14ac:dyDescent="0.25">
      <c r="C46" s="92"/>
    </row>
    <row r="47" spans="3:3" x14ac:dyDescent="0.25">
      <c r="C47" s="92"/>
    </row>
    <row r="48" spans="3:3" x14ac:dyDescent="0.25">
      <c r="C48" s="92"/>
    </row>
    <row r="49" spans="3:3" x14ac:dyDescent="0.25">
      <c r="C49" s="92"/>
    </row>
    <row r="50" spans="3:3" x14ac:dyDescent="0.25">
      <c r="C50" s="92"/>
    </row>
    <row r="51" spans="3:3" x14ac:dyDescent="0.25">
      <c r="C51" s="92"/>
    </row>
    <row r="52" spans="3:3" x14ac:dyDescent="0.25">
      <c r="C52" s="92"/>
    </row>
    <row r="53" spans="3:3" x14ac:dyDescent="0.25">
      <c r="C53" s="92"/>
    </row>
    <row r="54" spans="3:3" x14ac:dyDescent="0.25">
      <c r="C54" s="92"/>
    </row>
    <row r="55" spans="3:3" x14ac:dyDescent="0.25">
      <c r="C55" s="92"/>
    </row>
    <row r="56" spans="3:3" x14ac:dyDescent="0.25">
      <c r="C56" s="92"/>
    </row>
    <row r="57" spans="3:3" x14ac:dyDescent="0.25">
      <c r="C57" s="92"/>
    </row>
    <row r="58" spans="3:3" x14ac:dyDescent="0.25">
      <c r="C58" s="92"/>
    </row>
    <row r="59" spans="3:3" x14ac:dyDescent="0.25">
      <c r="C59" s="92"/>
    </row>
    <row r="60" spans="3:3" x14ac:dyDescent="0.25">
      <c r="C60" s="92"/>
    </row>
    <row r="61" spans="3:3" x14ac:dyDescent="0.25">
      <c r="C61" s="92"/>
    </row>
    <row r="62" spans="3:3" x14ac:dyDescent="0.25">
      <c r="C62" s="92"/>
    </row>
    <row r="63" spans="3:3" x14ac:dyDescent="0.25">
      <c r="C63" s="92"/>
    </row>
    <row r="64" spans="3:3" x14ac:dyDescent="0.25">
      <c r="C64" s="92"/>
    </row>
    <row r="65" spans="3:3" x14ac:dyDescent="0.25">
      <c r="C65" s="92"/>
    </row>
    <row r="66" spans="3:3" x14ac:dyDescent="0.25">
      <c r="C66" s="92"/>
    </row>
    <row r="67" spans="3:3" x14ac:dyDescent="0.25">
      <c r="C67" s="92"/>
    </row>
    <row r="68" spans="3:3" x14ac:dyDescent="0.25">
      <c r="C68" s="92"/>
    </row>
    <row r="69" spans="3:3" x14ac:dyDescent="0.25">
      <c r="C69" s="92"/>
    </row>
    <row r="70" spans="3:3" x14ac:dyDescent="0.25">
      <c r="C70" s="92"/>
    </row>
    <row r="71" spans="3:3" x14ac:dyDescent="0.25">
      <c r="C71" s="92"/>
    </row>
  </sheetData>
  <sheetProtection algorithmName="SHA-512" hashValue="OJPXIs7Do3DtZD+vZiFC7LFc9FBpAbvhzs8UNJaAP4JaFlQblR4BBdGQbXh2RJs9wJsA5cuXxnE/+MX3205a3g==" saltValue="YWLxKPmIHaGvnBhOkxiegA==" spinCount="100000" sheet="1" objects="1" scenarios="1"/>
  <mergeCells count="2">
    <mergeCell ref="A2:O2"/>
    <mergeCell ref="A3:F3"/>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730F3-1400-4741-9CC2-F7D5D8690E73}">
  <sheetPr codeName="Sheet4"/>
  <dimension ref="A1:J26"/>
  <sheetViews>
    <sheetView workbookViewId="0">
      <selection activeCell="I25" sqref="I25"/>
    </sheetView>
  </sheetViews>
  <sheetFormatPr defaultRowHeight="15" x14ac:dyDescent="0.25"/>
  <cols>
    <col min="1" max="1" width="40.5703125" customWidth="1"/>
    <col min="3" max="3" width="10.28515625" bestFit="1" customWidth="1"/>
    <col min="4" max="4" width="14" customWidth="1"/>
  </cols>
  <sheetData>
    <row r="1" spans="1:10" x14ac:dyDescent="0.25">
      <c r="A1" s="92"/>
      <c r="B1">
        <v>10</v>
      </c>
    </row>
    <row r="2" spans="1:10" x14ac:dyDescent="0.25">
      <c r="A2" s="92">
        <f>gradeGenericQuestionRange("Text",A4:D9,10,Question1!A5:D10)</f>
        <v>2.5</v>
      </c>
      <c r="F2" s="90"/>
    </row>
    <row r="3" spans="1:10" x14ac:dyDescent="0.25">
      <c r="F3" s="90"/>
      <c r="I3" s="90" t="s">
        <v>460</v>
      </c>
    </row>
    <row r="4" spans="1:10" x14ac:dyDescent="0.25">
      <c r="A4" s="90" t="s">
        <v>462</v>
      </c>
      <c r="B4" s="86" t="s">
        <v>463</v>
      </c>
      <c r="C4" s="86" t="s">
        <v>186</v>
      </c>
      <c r="D4" t="s">
        <v>464</v>
      </c>
      <c r="F4" s="90"/>
      <c r="I4" s="90" t="s">
        <v>459</v>
      </c>
    </row>
    <row r="5" spans="1:10" x14ac:dyDescent="0.25">
      <c r="A5" s="90" t="s">
        <v>346</v>
      </c>
      <c r="B5" s="86" t="s">
        <v>347</v>
      </c>
      <c r="C5" s="123">
        <v>40</v>
      </c>
      <c r="D5" s="93" t="s">
        <v>470</v>
      </c>
      <c r="F5" s="94"/>
      <c r="I5" s="90" t="s">
        <v>461</v>
      </c>
    </row>
    <row r="6" spans="1:10" x14ac:dyDescent="0.25">
      <c r="A6" s="90" t="s">
        <v>465</v>
      </c>
      <c r="B6" t="s">
        <v>466</v>
      </c>
      <c r="C6" s="7">
        <v>80</v>
      </c>
      <c r="D6" s="93" t="s">
        <v>467</v>
      </c>
      <c r="F6" s="90"/>
      <c r="I6" s="90" t="s">
        <v>476</v>
      </c>
    </row>
    <row r="7" spans="1:10" x14ac:dyDescent="0.25">
      <c r="A7" s="90" t="s">
        <v>468</v>
      </c>
      <c r="B7" t="s">
        <v>469</v>
      </c>
      <c r="C7" s="7">
        <v>15</v>
      </c>
      <c r="D7" s="93" t="s">
        <v>467</v>
      </c>
      <c r="F7" s="90"/>
      <c r="I7" s="90" t="s">
        <v>473</v>
      </c>
    </row>
    <row r="8" spans="1:10" x14ac:dyDescent="0.25">
      <c r="A8" t="s">
        <v>400</v>
      </c>
      <c r="B8" t="s">
        <v>401</v>
      </c>
      <c r="C8" s="7">
        <v>70</v>
      </c>
      <c r="D8" s="93" t="s">
        <v>471</v>
      </c>
      <c r="F8" s="90"/>
    </row>
    <row r="9" spans="1:10" x14ac:dyDescent="0.25">
      <c r="A9" t="s">
        <v>344</v>
      </c>
      <c r="B9" t="s">
        <v>345</v>
      </c>
      <c r="C9" s="7">
        <v>90</v>
      </c>
      <c r="D9" s="93" t="s">
        <v>472</v>
      </c>
    </row>
    <row r="10" spans="1:10" x14ac:dyDescent="0.25">
      <c r="C10" s="7"/>
      <c r="D10" s="93"/>
    </row>
    <row r="11" spans="1:10" x14ac:dyDescent="0.25">
      <c r="C11" s="7"/>
      <c r="D11" s="93"/>
    </row>
    <row r="12" spans="1:10" x14ac:dyDescent="0.25">
      <c r="C12" s="114"/>
    </row>
    <row r="13" spans="1:10" x14ac:dyDescent="0.25">
      <c r="C13" s="114"/>
    </row>
    <row r="14" spans="1:10" x14ac:dyDescent="0.25">
      <c r="C14" s="114"/>
    </row>
    <row r="15" spans="1:10" x14ac:dyDescent="0.25">
      <c r="C15" s="114"/>
      <c r="J15" t="s">
        <v>477</v>
      </c>
    </row>
    <row r="16" spans="1:10" x14ac:dyDescent="0.25">
      <c r="C16" s="114"/>
    </row>
    <row r="17" spans="3:3" x14ac:dyDescent="0.25">
      <c r="C17" s="114"/>
    </row>
    <row r="18" spans="3:3" x14ac:dyDescent="0.25">
      <c r="C18" s="114"/>
    </row>
    <row r="19" spans="3:3" x14ac:dyDescent="0.25">
      <c r="C19" s="114"/>
    </row>
    <row r="20" spans="3:3" x14ac:dyDescent="0.25">
      <c r="C20" s="114"/>
    </row>
    <row r="21" spans="3:3" x14ac:dyDescent="0.25">
      <c r="C21" s="114"/>
    </row>
    <row r="22" spans="3:3" x14ac:dyDescent="0.25">
      <c r="C22" s="114"/>
    </row>
    <row r="23" spans="3:3" x14ac:dyDescent="0.25">
      <c r="C23" s="114"/>
    </row>
    <row r="24" spans="3:3" x14ac:dyDescent="0.25">
      <c r="C24" s="114"/>
    </row>
    <row r="25" spans="3:3" x14ac:dyDescent="0.25">
      <c r="C25" s="114"/>
    </row>
    <row r="26" spans="3:3" x14ac:dyDescent="0.25">
      <c r="C26" s="114"/>
    </row>
  </sheetData>
  <sheetProtection algorithmName="SHA-512" hashValue="tDgmpj3bP5r3Ztc3em/37xiYORgqrC+k9g9fqNqQ8Two+CXrgqrRQlPgpMLO9lZcmVCXKBhqXILGEFv1th+ZfQ==" saltValue="9J4my06dcE8CYuAOfsgVDw==" spinCount="100000"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A9623-3574-4FC4-99F5-8977F1767E7D}">
  <sheetPr codeName="Sheet5"/>
  <dimension ref="A1:O21"/>
  <sheetViews>
    <sheetView workbookViewId="0">
      <selection activeCell="H17" sqref="H17"/>
    </sheetView>
  </sheetViews>
  <sheetFormatPr defaultRowHeight="15" x14ac:dyDescent="0.25"/>
  <cols>
    <col min="1" max="1" width="24.7109375" customWidth="1"/>
    <col min="2" max="3" width="10.28515625" bestFit="1" customWidth="1"/>
    <col min="9" max="9" width="19.28515625" customWidth="1"/>
    <col min="10" max="10" width="23.28515625" customWidth="1"/>
  </cols>
  <sheetData>
    <row r="1" spans="1:15" ht="64.150000000000006" customHeight="1" x14ac:dyDescent="0.25">
      <c r="A1" s="88" t="s">
        <v>160</v>
      </c>
      <c r="D1" t="s">
        <v>184</v>
      </c>
      <c r="H1" t="s">
        <v>171</v>
      </c>
      <c r="I1" s="125" t="s">
        <v>201</v>
      </c>
      <c r="J1" s="91" t="s">
        <v>202</v>
      </c>
      <c r="L1" s="94"/>
      <c r="O1" s="94" t="s">
        <v>174</v>
      </c>
    </row>
    <row r="2" spans="1:15" ht="54.6" customHeight="1" x14ac:dyDescent="0.25">
      <c r="A2" s="158" t="s">
        <v>423</v>
      </c>
      <c r="B2" s="158"/>
      <c r="C2" s="158"/>
      <c r="D2" s="158"/>
      <c r="E2" s="158"/>
      <c r="F2" s="158"/>
      <c r="G2" s="158"/>
      <c r="H2" s="158"/>
      <c r="I2" s="158"/>
      <c r="J2" s="158"/>
      <c r="K2" s="158"/>
    </row>
    <row r="3" spans="1:15" x14ac:dyDescent="0.25">
      <c r="A3" t="s">
        <v>163</v>
      </c>
      <c r="I3" t="s">
        <v>170</v>
      </c>
      <c r="N3" s="144" t="s">
        <v>516</v>
      </c>
    </row>
    <row r="4" spans="1:15" x14ac:dyDescent="0.25">
      <c r="N4" s="144" t="s">
        <v>517</v>
      </c>
    </row>
    <row r="5" spans="1:15" x14ac:dyDescent="0.25">
      <c r="A5" s="130" t="s">
        <v>191</v>
      </c>
      <c r="B5" s="86" t="s">
        <v>529</v>
      </c>
      <c r="C5" s="86" t="s">
        <v>118</v>
      </c>
      <c r="D5" s="86" t="s">
        <v>195</v>
      </c>
      <c r="E5" s="86"/>
      <c r="N5" s="144" t="s">
        <v>518</v>
      </c>
    </row>
    <row r="6" spans="1:15" x14ac:dyDescent="0.25">
      <c r="A6" s="130">
        <v>1004</v>
      </c>
      <c r="B6" s="104" t="s">
        <v>196</v>
      </c>
      <c r="C6" s="121">
        <v>91.44</v>
      </c>
      <c r="D6" s="121" t="s">
        <v>198</v>
      </c>
      <c r="E6" s="86"/>
      <c r="N6" s="144" t="s">
        <v>519</v>
      </c>
    </row>
    <row r="7" spans="1:15" x14ac:dyDescent="0.25">
      <c r="A7" s="130">
        <v>1004</v>
      </c>
      <c r="B7" s="104" t="s">
        <v>196</v>
      </c>
      <c r="C7" s="121">
        <v>90.56</v>
      </c>
      <c r="D7" s="121" t="s">
        <v>198</v>
      </c>
      <c r="E7" s="86"/>
      <c r="N7" s="144" t="s">
        <v>520</v>
      </c>
    </row>
    <row r="8" spans="1:15" x14ac:dyDescent="0.25">
      <c r="A8" s="130">
        <v>1004</v>
      </c>
      <c r="B8" s="104" t="s">
        <v>196</v>
      </c>
      <c r="C8" s="121">
        <v>74.23</v>
      </c>
      <c r="D8" s="121" t="s">
        <v>198</v>
      </c>
      <c r="E8" s="86"/>
      <c r="N8" s="144" t="s">
        <v>521</v>
      </c>
    </row>
    <row r="9" spans="1:15" x14ac:dyDescent="0.25">
      <c r="A9" s="131">
        <v>1011</v>
      </c>
      <c r="B9" s="93" t="s">
        <v>199</v>
      </c>
      <c r="C9" s="92">
        <v>87.65</v>
      </c>
      <c r="D9" s="92" t="s">
        <v>198</v>
      </c>
      <c r="N9" s="144" t="s">
        <v>522</v>
      </c>
    </row>
    <row r="10" spans="1:15" x14ac:dyDescent="0.25">
      <c r="A10" s="131">
        <v>1011</v>
      </c>
      <c r="B10" s="93" t="s">
        <v>199</v>
      </c>
      <c r="C10" s="92">
        <v>93.01</v>
      </c>
      <c r="D10" s="92" t="s">
        <v>198</v>
      </c>
      <c r="N10" s="144" t="s">
        <v>523</v>
      </c>
    </row>
    <row r="11" spans="1:15" x14ac:dyDescent="0.25">
      <c r="A11" s="131">
        <v>1011</v>
      </c>
      <c r="B11" s="93" t="s">
        <v>199</v>
      </c>
      <c r="C11" s="92">
        <v>92.36</v>
      </c>
      <c r="D11" s="92" t="s">
        <v>198</v>
      </c>
      <c r="N11" s="144" t="s">
        <v>524</v>
      </c>
    </row>
    <row r="12" spans="1:15" x14ac:dyDescent="0.25">
      <c r="A12" s="131">
        <v>1011</v>
      </c>
      <c r="B12" t="s">
        <v>199</v>
      </c>
      <c r="C12" s="92">
        <v>88.58</v>
      </c>
      <c r="D12" s="92" t="s">
        <v>198</v>
      </c>
      <c r="N12" s="144" t="s">
        <v>525</v>
      </c>
    </row>
    <row r="13" spans="1:15" x14ac:dyDescent="0.25">
      <c r="A13" s="131">
        <v>1016</v>
      </c>
      <c r="B13" t="s">
        <v>200</v>
      </c>
      <c r="C13">
        <v>82.58</v>
      </c>
      <c r="D13" s="92" t="s">
        <v>198</v>
      </c>
      <c r="N13" s="144" t="s">
        <v>526</v>
      </c>
    </row>
    <row r="14" spans="1:15" x14ac:dyDescent="0.25">
      <c r="A14" s="131">
        <v>1016</v>
      </c>
      <c r="B14" t="s">
        <v>200</v>
      </c>
      <c r="C14">
        <v>98.01</v>
      </c>
      <c r="D14" s="92" t="s">
        <v>198</v>
      </c>
    </row>
    <row r="15" spans="1:15" x14ac:dyDescent="0.25">
      <c r="A15" s="131">
        <v>1016</v>
      </c>
      <c r="B15" t="s">
        <v>200</v>
      </c>
      <c r="C15">
        <v>72.010000000000005</v>
      </c>
      <c r="D15" s="92" t="s">
        <v>198</v>
      </c>
    </row>
    <row r="16" spans="1:15" x14ac:dyDescent="0.25">
      <c r="D16" s="102"/>
    </row>
    <row r="17" spans="4:4" x14ac:dyDescent="0.25">
      <c r="D17" s="102"/>
    </row>
    <row r="18" spans="4:4" x14ac:dyDescent="0.25">
      <c r="D18" s="102"/>
    </row>
    <row r="19" spans="4:4" x14ac:dyDescent="0.25">
      <c r="D19" s="102"/>
    </row>
    <row r="20" spans="4:4" x14ac:dyDescent="0.25">
      <c r="D20" s="102"/>
    </row>
    <row r="21" spans="4:4" x14ac:dyDescent="0.25">
      <c r="D21" s="102"/>
    </row>
  </sheetData>
  <sheetProtection algorithmName="SHA-512" hashValue="x5BeaMILguxFHmaRr9ttuhMGnAK0kvetLuNLhM3ErERVjWUscbfd0rG+4ovBxE9hiABrjA89NTbuWHSHW/nBhQ==" saltValue="sKtlN6FkPgtIyQxO+osfiA==" spinCount="100000" sheet="1" objects="1" scenarios="1"/>
  <mergeCells count="1">
    <mergeCell ref="A2:K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96DB5-984A-4528-96AA-9845DC576509}">
  <sheetPr codeName="Sheet6"/>
  <dimension ref="A1:J14"/>
  <sheetViews>
    <sheetView workbookViewId="0">
      <selection activeCell="J6" sqref="J6"/>
    </sheetView>
  </sheetViews>
  <sheetFormatPr defaultRowHeight="15" x14ac:dyDescent="0.25"/>
  <cols>
    <col min="1" max="1" width="42.28515625" customWidth="1"/>
    <col min="2" max="3" width="10.28515625" bestFit="1" customWidth="1"/>
  </cols>
  <sheetData>
    <row r="1" spans="1:10" x14ac:dyDescent="0.25">
      <c r="A1" s="91" cm="1">
        <f t="array" ref="A1">gradeGenericQuestionRange("Text", A3:E13,C1,Question2!A5:E15)</f>
        <v>4.0000009536743164</v>
      </c>
      <c r="C1">
        <v>10</v>
      </c>
    </row>
    <row r="2" spans="1:10" x14ac:dyDescent="0.25">
      <c r="C2" s="90"/>
      <c r="I2" s="90"/>
    </row>
    <row r="3" spans="1:10" x14ac:dyDescent="0.25">
      <c r="A3" t="s">
        <v>191</v>
      </c>
      <c r="B3" t="s">
        <v>192</v>
      </c>
      <c r="C3" s="90" t="s">
        <v>193</v>
      </c>
      <c r="D3" t="s">
        <v>194</v>
      </c>
      <c r="E3" t="s">
        <v>195</v>
      </c>
      <c r="I3" s="90"/>
    </row>
    <row r="4" spans="1:10" ht="18.75" x14ac:dyDescent="0.25">
      <c r="A4">
        <v>1004</v>
      </c>
      <c r="B4" s="93" t="s">
        <v>196</v>
      </c>
      <c r="C4" s="122" t="s">
        <v>197</v>
      </c>
      <c r="D4">
        <v>91.44</v>
      </c>
      <c r="E4" t="s">
        <v>198</v>
      </c>
      <c r="I4" s="90"/>
      <c r="J4" s="136" t="s">
        <v>424</v>
      </c>
    </row>
    <row r="5" spans="1:10" ht="18.75" x14ac:dyDescent="0.25">
      <c r="A5">
        <v>1004</v>
      </c>
      <c r="B5" s="93" t="s">
        <v>196</v>
      </c>
      <c r="C5" s="92" t="s">
        <v>197</v>
      </c>
      <c r="D5">
        <v>90.56</v>
      </c>
      <c r="E5" t="s">
        <v>198</v>
      </c>
      <c r="I5" s="90"/>
      <c r="J5" s="136" t="s">
        <v>425</v>
      </c>
    </row>
    <row r="6" spans="1:10" ht="18.75" x14ac:dyDescent="0.25">
      <c r="A6">
        <v>1004</v>
      </c>
      <c r="B6" s="93" t="s">
        <v>196</v>
      </c>
      <c r="C6" s="92" t="s">
        <v>197</v>
      </c>
      <c r="D6">
        <v>74.23</v>
      </c>
      <c r="E6" t="s">
        <v>198</v>
      </c>
      <c r="I6" s="115"/>
      <c r="J6" s="136" t="s">
        <v>426</v>
      </c>
    </row>
    <row r="7" spans="1:10" ht="18.75" x14ac:dyDescent="0.25">
      <c r="A7">
        <v>1011</v>
      </c>
      <c r="B7" s="93" t="s">
        <v>199</v>
      </c>
      <c r="C7" s="92" t="s">
        <v>197</v>
      </c>
      <c r="D7">
        <v>87.65</v>
      </c>
      <c r="E7" t="s">
        <v>198</v>
      </c>
      <c r="I7" s="90"/>
      <c r="J7" s="137" t="s">
        <v>427</v>
      </c>
    </row>
    <row r="8" spans="1:10" ht="18.75" x14ac:dyDescent="0.25">
      <c r="A8">
        <v>1011</v>
      </c>
      <c r="B8" s="93" t="s">
        <v>199</v>
      </c>
      <c r="C8" s="92" t="s">
        <v>197</v>
      </c>
      <c r="D8">
        <v>93.01</v>
      </c>
      <c r="E8" t="s">
        <v>198</v>
      </c>
      <c r="I8" s="94"/>
      <c r="J8" s="136" t="s">
        <v>428</v>
      </c>
    </row>
    <row r="9" spans="1:10" ht="18.75" x14ac:dyDescent="0.25">
      <c r="A9">
        <v>1011</v>
      </c>
      <c r="B9" s="93" t="s">
        <v>199</v>
      </c>
      <c r="C9" s="92" t="s">
        <v>197</v>
      </c>
      <c r="D9">
        <v>92.36</v>
      </c>
      <c r="E9" t="s">
        <v>198</v>
      </c>
      <c r="I9" s="90"/>
      <c r="J9" s="137" t="s">
        <v>429</v>
      </c>
    </row>
    <row r="10" spans="1:10" ht="18.75" x14ac:dyDescent="0.25">
      <c r="A10">
        <v>1011</v>
      </c>
      <c r="B10" t="s">
        <v>199</v>
      </c>
      <c r="C10" s="92" t="s">
        <v>197</v>
      </c>
      <c r="D10">
        <v>88.58</v>
      </c>
      <c r="E10" t="s">
        <v>198</v>
      </c>
      <c r="I10" s="90"/>
      <c r="J10" s="136" t="s">
        <v>430</v>
      </c>
    </row>
    <row r="11" spans="1:10" ht="18.75" x14ac:dyDescent="0.25">
      <c r="A11">
        <v>1016</v>
      </c>
      <c r="B11" t="s">
        <v>200</v>
      </c>
      <c r="C11" t="s">
        <v>197</v>
      </c>
      <c r="D11">
        <v>82.58</v>
      </c>
      <c r="E11" t="s">
        <v>198</v>
      </c>
      <c r="I11" s="90"/>
      <c r="J11" s="137" t="s">
        <v>431</v>
      </c>
    </row>
    <row r="12" spans="1:10" ht="18.75" x14ac:dyDescent="0.25">
      <c r="A12">
        <v>1016</v>
      </c>
      <c r="B12" t="s">
        <v>200</v>
      </c>
      <c r="C12" t="s">
        <v>197</v>
      </c>
      <c r="D12">
        <v>98.01</v>
      </c>
      <c r="E12" t="s">
        <v>198</v>
      </c>
      <c r="J12" s="136" t="s">
        <v>432</v>
      </c>
    </row>
    <row r="13" spans="1:10" ht="18.75" x14ac:dyDescent="0.25">
      <c r="A13">
        <v>1016</v>
      </c>
      <c r="B13" t="s">
        <v>200</v>
      </c>
      <c r="C13" t="s">
        <v>197</v>
      </c>
      <c r="D13">
        <v>72.010000000000005</v>
      </c>
      <c r="E13" t="s">
        <v>198</v>
      </c>
      <c r="J13" s="136" t="s">
        <v>433</v>
      </c>
    </row>
    <row r="14" spans="1:10" ht="18.75" x14ac:dyDescent="0.25">
      <c r="J14" s="136" t="s">
        <v>434</v>
      </c>
    </row>
  </sheetData>
  <sheetProtection algorithmName="SHA-512" hashValue="9Hp1Jki0ovmT/B4gyDZxs69lyBYUBv5ko2HuGetwv7KqLx7aDVl1PIwM4kNh89MEPlQYGi1DGeXOuawxG07NRA==" saltValue="535k4lQa2Q3AfYLwZZFelg==" spinCount="100000"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A89A5-817A-4F11-A3B4-32F72CEC3DE8}">
  <sheetPr codeName="Sheet7"/>
  <dimension ref="A1:N12"/>
  <sheetViews>
    <sheetView topLeftCell="E1" workbookViewId="0">
      <selection activeCell="G15" sqref="G15"/>
    </sheetView>
  </sheetViews>
  <sheetFormatPr defaultRowHeight="15" x14ac:dyDescent="0.25"/>
  <cols>
    <col min="1" max="1" width="23.85546875" customWidth="1"/>
    <col min="2" max="2" width="16.7109375" customWidth="1"/>
    <col min="5" max="5" width="23.42578125" customWidth="1"/>
    <col min="6" max="6" width="12.28515625" customWidth="1"/>
    <col min="9" max="9" width="20.140625" customWidth="1"/>
  </cols>
  <sheetData>
    <row r="1" spans="1:14" ht="69.599999999999994" customHeight="1" x14ac:dyDescent="0.25">
      <c r="A1" s="88" t="s">
        <v>159</v>
      </c>
      <c r="E1" t="s">
        <v>184</v>
      </c>
      <c r="H1" t="s">
        <v>171</v>
      </c>
      <c r="I1" s="126" t="s">
        <v>203</v>
      </c>
    </row>
    <row r="2" spans="1:14" ht="64.150000000000006" customHeight="1" x14ac:dyDescent="0.25">
      <c r="A2" s="158" t="s">
        <v>488</v>
      </c>
      <c r="B2" s="159"/>
      <c r="C2" s="159"/>
      <c r="D2" s="159"/>
      <c r="E2" s="159"/>
      <c r="F2" s="159"/>
      <c r="G2" s="159"/>
      <c r="H2" s="159"/>
      <c r="I2" s="159"/>
      <c r="K2" s="160" t="s">
        <v>328</v>
      </c>
      <c r="L2" s="159"/>
    </row>
    <row r="3" spans="1:14" ht="64.150000000000006" customHeight="1" x14ac:dyDescent="0.25">
      <c r="A3" t="s">
        <v>163</v>
      </c>
      <c r="G3" t="s">
        <v>170</v>
      </c>
      <c r="K3" s="159"/>
      <c r="L3" s="159"/>
    </row>
    <row r="4" spans="1:14" x14ac:dyDescent="0.25">
      <c r="N4" s="144" t="s">
        <v>637</v>
      </c>
    </row>
    <row r="5" spans="1:14" x14ac:dyDescent="0.25">
      <c r="A5" s="103" t="s">
        <v>191</v>
      </c>
      <c r="B5" s="86" t="s">
        <v>529</v>
      </c>
      <c r="C5" s="86" t="s">
        <v>538</v>
      </c>
      <c r="D5" t="s">
        <v>185</v>
      </c>
      <c r="E5" t="s">
        <v>639</v>
      </c>
      <c r="F5" t="s">
        <v>539</v>
      </c>
      <c r="N5" s="144" t="s">
        <v>517</v>
      </c>
    </row>
    <row r="6" spans="1:14" x14ac:dyDescent="0.25">
      <c r="A6" s="86">
        <v>1004</v>
      </c>
      <c r="B6" s="104" t="s">
        <v>196</v>
      </c>
      <c r="C6" s="86" t="s">
        <v>82</v>
      </c>
      <c r="D6" t="s">
        <v>412</v>
      </c>
      <c r="E6" s="93">
        <v>10</v>
      </c>
      <c r="F6" s="93">
        <v>44084</v>
      </c>
      <c r="N6" s="144" t="s">
        <v>520</v>
      </c>
    </row>
    <row r="7" spans="1:14" x14ac:dyDescent="0.25">
      <c r="A7">
        <v>1011</v>
      </c>
      <c r="B7" s="93" t="s">
        <v>199</v>
      </c>
      <c r="C7" t="s">
        <v>209</v>
      </c>
      <c r="D7" t="s">
        <v>412</v>
      </c>
      <c r="E7" s="93">
        <v>20</v>
      </c>
      <c r="F7" s="93">
        <v>44084</v>
      </c>
      <c r="I7" s="90"/>
      <c r="N7" s="144" t="s">
        <v>521</v>
      </c>
    </row>
    <row r="8" spans="1:14" x14ac:dyDescent="0.25">
      <c r="A8">
        <v>1016</v>
      </c>
      <c r="B8" s="93" t="s">
        <v>200</v>
      </c>
      <c r="C8" t="s">
        <v>209</v>
      </c>
      <c r="D8" t="s">
        <v>412</v>
      </c>
      <c r="E8" s="93">
        <v>17</v>
      </c>
      <c r="F8" s="93">
        <v>44084</v>
      </c>
      <c r="I8" s="90"/>
      <c r="N8" s="144" t="s">
        <v>531</v>
      </c>
    </row>
    <row r="9" spans="1:14" x14ac:dyDescent="0.25">
      <c r="A9">
        <v>1004</v>
      </c>
      <c r="B9" s="93" t="s">
        <v>196</v>
      </c>
      <c r="C9" t="s">
        <v>82</v>
      </c>
      <c r="D9" t="s">
        <v>207</v>
      </c>
      <c r="E9" s="93">
        <v>18</v>
      </c>
      <c r="F9" s="93">
        <v>44209</v>
      </c>
      <c r="I9" s="90"/>
      <c r="N9" s="144" t="s">
        <v>532</v>
      </c>
    </row>
    <row r="10" spans="1:14" x14ac:dyDescent="0.25">
      <c r="A10">
        <v>1011</v>
      </c>
      <c r="B10" s="93" t="s">
        <v>199</v>
      </c>
      <c r="C10" t="s">
        <v>209</v>
      </c>
      <c r="D10" t="s">
        <v>207</v>
      </c>
      <c r="E10" s="93">
        <v>21</v>
      </c>
      <c r="F10" s="93">
        <v>44209</v>
      </c>
      <c r="I10" s="94"/>
      <c r="N10" s="144" t="s">
        <v>533</v>
      </c>
    </row>
    <row r="11" spans="1:14" x14ac:dyDescent="0.25">
      <c r="A11">
        <v>1016</v>
      </c>
      <c r="B11" t="s">
        <v>200</v>
      </c>
      <c r="C11" t="s">
        <v>209</v>
      </c>
      <c r="D11" t="s">
        <v>207</v>
      </c>
      <c r="E11" s="93">
        <v>18</v>
      </c>
      <c r="F11" s="93">
        <v>44209</v>
      </c>
      <c r="I11" s="90"/>
      <c r="N11" s="144" t="s">
        <v>534</v>
      </c>
    </row>
    <row r="12" spans="1:14" x14ac:dyDescent="0.25">
      <c r="I12" s="90"/>
      <c r="N12" s="144" t="s">
        <v>535</v>
      </c>
    </row>
  </sheetData>
  <sheetProtection algorithmName="SHA-512" hashValue="yD8yyhDuQUgEqfZ+H7DP+VQSeGM1Vj33cX95CHowo9gSAd1GMauY5JBpL60FDv4baRl7ShKJf8FxRC/7bqdV2A==" saltValue="kWop/epiYkGdIYe9BZpAZw==" spinCount="100000" sheet="1" objects="1" scenarios="1"/>
  <mergeCells count="2">
    <mergeCell ref="A2:I2"/>
    <mergeCell ref="K2:L3"/>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F7DF9-9F58-4E28-BF3B-8AEC4ADF802A}">
  <sheetPr codeName="Sheet8"/>
  <dimension ref="A1:M18"/>
  <sheetViews>
    <sheetView workbookViewId="0">
      <selection activeCell="A2" sqref="A2"/>
    </sheetView>
  </sheetViews>
  <sheetFormatPr defaultRowHeight="15" x14ac:dyDescent="0.25"/>
  <cols>
    <col min="1" max="1" width="15.85546875" customWidth="1"/>
    <col min="2" max="2" width="15.5703125" customWidth="1"/>
    <col min="6" max="6" width="14.28515625" customWidth="1"/>
  </cols>
  <sheetData>
    <row r="1" spans="1:10" x14ac:dyDescent="0.25">
      <c r="A1" cm="1">
        <f t="array" ref="A1">gradeGenericQuestionRange("Text", A4:F10,C1,Question3!A5:F11)</f>
        <v>6.9047627449035645</v>
      </c>
      <c r="C1">
        <v>10</v>
      </c>
    </row>
    <row r="2" spans="1:10" x14ac:dyDescent="0.25">
      <c r="F2" s="90"/>
      <c r="H2" s="90"/>
    </row>
    <row r="3" spans="1:10" x14ac:dyDescent="0.25">
      <c r="F3" s="90"/>
      <c r="H3" s="90"/>
      <c r="J3" s="90" t="s">
        <v>479</v>
      </c>
    </row>
    <row r="4" spans="1:10" x14ac:dyDescent="0.25">
      <c r="A4" s="91" t="s">
        <v>191</v>
      </c>
      <c r="B4" t="s">
        <v>192</v>
      </c>
      <c r="C4" t="s">
        <v>204</v>
      </c>
      <c r="D4" t="s">
        <v>185</v>
      </c>
      <c r="E4" t="s">
        <v>205</v>
      </c>
      <c r="F4" s="90" t="s">
        <v>173</v>
      </c>
      <c r="H4" s="90"/>
      <c r="J4" s="90" t="s">
        <v>480</v>
      </c>
    </row>
    <row r="5" spans="1:10" x14ac:dyDescent="0.25">
      <c r="A5">
        <v>1004</v>
      </c>
      <c r="B5" s="93" t="s">
        <v>206</v>
      </c>
      <c r="C5" t="s">
        <v>82</v>
      </c>
      <c r="D5" t="s">
        <v>412</v>
      </c>
      <c r="E5">
        <v>17</v>
      </c>
      <c r="F5" s="127">
        <v>44084</v>
      </c>
      <c r="H5" s="90"/>
      <c r="J5" s="90" t="s">
        <v>481</v>
      </c>
    </row>
    <row r="6" spans="1:10" x14ac:dyDescent="0.25">
      <c r="A6">
        <v>1011</v>
      </c>
      <c r="B6" s="93" t="s">
        <v>208</v>
      </c>
      <c r="C6" t="s">
        <v>209</v>
      </c>
      <c r="D6" t="s">
        <v>412</v>
      </c>
      <c r="E6">
        <v>20</v>
      </c>
      <c r="F6" s="128">
        <v>44084</v>
      </c>
      <c r="H6" s="90"/>
      <c r="J6" s="94" t="s">
        <v>482</v>
      </c>
    </row>
    <row r="7" spans="1:10" x14ac:dyDescent="0.25">
      <c r="A7">
        <v>1016</v>
      </c>
      <c r="B7" s="93" t="s">
        <v>210</v>
      </c>
      <c r="C7" t="s">
        <v>209</v>
      </c>
      <c r="D7" t="s">
        <v>412</v>
      </c>
      <c r="E7">
        <v>17</v>
      </c>
      <c r="F7" s="128">
        <v>44084</v>
      </c>
      <c r="J7" s="90" t="s">
        <v>483</v>
      </c>
    </row>
    <row r="8" spans="1:10" x14ac:dyDescent="0.25">
      <c r="A8">
        <v>1004</v>
      </c>
      <c r="B8" s="93" t="s">
        <v>206</v>
      </c>
      <c r="C8" t="s">
        <v>82</v>
      </c>
      <c r="D8" t="s">
        <v>207</v>
      </c>
      <c r="E8">
        <v>17</v>
      </c>
      <c r="F8" s="128">
        <v>44209</v>
      </c>
      <c r="J8" s="94" t="s">
        <v>484</v>
      </c>
    </row>
    <row r="9" spans="1:10" x14ac:dyDescent="0.25">
      <c r="A9">
        <v>1011</v>
      </c>
      <c r="B9" s="93" t="s">
        <v>208</v>
      </c>
      <c r="C9" t="s">
        <v>209</v>
      </c>
      <c r="D9" t="s">
        <v>207</v>
      </c>
      <c r="E9">
        <v>20</v>
      </c>
      <c r="F9" s="93">
        <v>44209</v>
      </c>
      <c r="J9" s="90" t="s">
        <v>485</v>
      </c>
    </row>
    <row r="10" spans="1:10" x14ac:dyDescent="0.25">
      <c r="A10">
        <v>1016</v>
      </c>
      <c r="B10" t="s">
        <v>210</v>
      </c>
      <c r="C10" t="s">
        <v>209</v>
      </c>
      <c r="D10" t="s">
        <v>207</v>
      </c>
      <c r="E10">
        <v>17</v>
      </c>
      <c r="F10" s="93">
        <v>44209</v>
      </c>
      <c r="J10" s="94" t="s">
        <v>486</v>
      </c>
    </row>
    <row r="11" spans="1:10" x14ac:dyDescent="0.25">
      <c r="J11" s="90" t="s">
        <v>487</v>
      </c>
    </row>
    <row r="18" spans="10:13" ht="27.75" x14ac:dyDescent="0.25">
      <c r="J18" t="s">
        <v>478</v>
      </c>
      <c r="M18" s="138" t="s">
        <v>435</v>
      </c>
    </row>
  </sheetData>
  <sheetProtection algorithmName="SHA-512" hashValue="cg7TYLj7Vk+kBRfpAxklJHhN5Fg0KtwyeXx2+ckc8QItQfcQhLXwUW0cvhtgiVcasogI7KcwIo+3JEg++xKlaw==" saltValue="DZeFUOv3dDzsvbU6aeXkJA==" spinCount="100000" sheet="1" objects="1" scenarios="1"/>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FF0B3-1218-4B30-AA56-CA3D3BAFC3E9}">
  <sheetPr codeName="Sheet13"/>
  <dimension ref="A1:N295"/>
  <sheetViews>
    <sheetView workbookViewId="0">
      <selection activeCell="A5" sqref="A5:E27"/>
    </sheetView>
  </sheetViews>
  <sheetFormatPr defaultRowHeight="15" x14ac:dyDescent="0.25"/>
  <cols>
    <col min="1" max="1" width="15.28515625" customWidth="1"/>
    <col min="2" max="2" width="21.28515625" customWidth="1"/>
    <col min="3" max="3" width="13.28515625" customWidth="1"/>
    <col min="4" max="4" width="11.5703125" customWidth="1"/>
    <col min="8" max="8" width="32.7109375" customWidth="1"/>
    <col min="11" max="11" width="21.7109375" customWidth="1"/>
  </cols>
  <sheetData>
    <row r="1" spans="1:14" ht="94.9" customHeight="1" x14ac:dyDescent="0.25">
      <c r="A1" s="87" t="s">
        <v>162</v>
      </c>
      <c r="D1" t="s">
        <v>184</v>
      </c>
      <c r="G1" t="s">
        <v>169</v>
      </c>
      <c r="H1" s="120" t="s">
        <v>236</v>
      </c>
    </row>
    <row r="2" spans="1:14" ht="75" customHeight="1" x14ac:dyDescent="0.25">
      <c r="A2" s="161" t="s">
        <v>419</v>
      </c>
      <c r="B2" s="162"/>
      <c r="C2" s="162"/>
      <c r="D2" s="162"/>
      <c r="E2" s="162"/>
      <c r="F2" s="162"/>
      <c r="G2" s="162"/>
      <c r="H2" s="162"/>
      <c r="K2" s="120"/>
    </row>
    <row r="3" spans="1:14" ht="15.75" x14ac:dyDescent="0.25">
      <c r="A3" s="89" t="s">
        <v>165</v>
      </c>
      <c r="K3" t="s">
        <v>170</v>
      </c>
      <c r="N3" s="144" t="s">
        <v>541</v>
      </c>
    </row>
    <row r="4" spans="1:14" x14ac:dyDescent="0.25">
      <c r="N4" s="144" t="s">
        <v>542</v>
      </c>
    </row>
    <row r="5" spans="1:14" x14ac:dyDescent="0.25">
      <c r="A5" s="130" t="s">
        <v>549</v>
      </c>
      <c r="B5" s="86" t="s">
        <v>212</v>
      </c>
      <c r="C5" s="86" t="s">
        <v>550</v>
      </c>
      <c r="D5" s="104" t="s">
        <v>551</v>
      </c>
      <c r="E5" s="86" t="s">
        <v>552</v>
      </c>
      <c r="N5" s="144" t="s">
        <v>543</v>
      </c>
    </row>
    <row r="6" spans="1:14" x14ac:dyDescent="0.25">
      <c r="A6" s="130" t="s">
        <v>553</v>
      </c>
      <c r="B6" s="104" t="s">
        <v>554</v>
      </c>
      <c r="C6" s="104" t="s">
        <v>555</v>
      </c>
      <c r="D6" s="123" t="s">
        <v>219</v>
      </c>
      <c r="E6" s="86">
        <v>1</v>
      </c>
      <c r="N6" s="144" t="s">
        <v>544</v>
      </c>
    </row>
    <row r="7" spans="1:14" x14ac:dyDescent="0.25">
      <c r="A7" s="130" t="s">
        <v>553</v>
      </c>
      <c r="B7" s="104" t="s">
        <v>239</v>
      </c>
      <c r="C7" s="104" t="s">
        <v>240</v>
      </c>
      <c r="D7" s="123" t="s">
        <v>219</v>
      </c>
      <c r="E7" s="86">
        <v>1</v>
      </c>
      <c r="N7" s="144" t="s">
        <v>545</v>
      </c>
    </row>
    <row r="8" spans="1:14" x14ac:dyDescent="0.25">
      <c r="A8" s="130" t="s">
        <v>553</v>
      </c>
      <c r="B8" s="104" t="s">
        <v>243</v>
      </c>
      <c r="C8" s="86" t="s">
        <v>244</v>
      </c>
      <c r="D8" s="123" t="s">
        <v>219</v>
      </c>
      <c r="E8" s="86">
        <v>1</v>
      </c>
      <c r="N8" s="144" t="s">
        <v>546</v>
      </c>
    </row>
    <row r="9" spans="1:14" x14ac:dyDescent="0.25">
      <c r="A9" s="131" t="s">
        <v>553</v>
      </c>
      <c r="B9" s="93" t="s">
        <v>246</v>
      </c>
      <c r="C9" t="s">
        <v>247</v>
      </c>
      <c r="D9" s="7" t="s">
        <v>219</v>
      </c>
      <c r="E9">
        <v>1</v>
      </c>
    </row>
    <row r="10" spans="1:14" x14ac:dyDescent="0.25">
      <c r="A10" s="74" t="s">
        <v>216</v>
      </c>
      <c r="B10" s="93" t="s">
        <v>222</v>
      </c>
      <c r="C10" t="s">
        <v>223</v>
      </c>
      <c r="D10" s="7" t="s">
        <v>219</v>
      </c>
      <c r="E10">
        <v>1</v>
      </c>
    </row>
    <row r="11" spans="1:14" x14ac:dyDescent="0.25">
      <c r="A11" s="74" t="s">
        <v>556</v>
      </c>
      <c r="B11" s="93" t="s">
        <v>249</v>
      </c>
      <c r="C11" t="s">
        <v>250</v>
      </c>
      <c r="D11" s="7" t="s">
        <v>219</v>
      </c>
      <c r="E11">
        <v>0</v>
      </c>
    </row>
    <row r="12" spans="1:14" x14ac:dyDescent="0.25">
      <c r="A12" s="74" t="s">
        <v>216</v>
      </c>
      <c r="B12" s="93" t="s">
        <v>234</v>
      </c>
      <c r="C12" t="s">
        <v>235</v>
      </c>
      <c r="D12" s="7" t="s">
        <v>219</v>
      </c>
      <c r="E12">
        <v>1</v>
      </c>
    </row>
    <row r="13" spans="1:14" x14ac:dyDescent="0.25">
      <c r="A13" s="74" t="s">
        <v>216</v>
      </c>
      <c r="B13" s="93" t="s">
        <v>228</v>
      </c>
      <c r="C13" t="s">
        <v>229</v>
      </c>
      <c r="D13" s="7" t="s">
        <v>219</v>
      </c>
      <c r="E13">
        <v>1</v>
      </c>
    </row>
    <row r="14" spans="1:14" x14ac:dyDescent="0.25">
      <c r="A14" s="74" t="s">
        <v>556</v>
      </c>
      <c r="B14" s="93" t="s">
        <v>252</v>
      </c>
      <c r="C14" t="s">
        <v>253</v>
      </c>
      <c r="D14" s="7" t="s">
        <v>219</v>
      </c>
      <c r="E14">
        <v>1</v>
      </c>
    </row>
    <row r="15" spans="1:14" x14ac:dyDescent="0.25">
      <c r="A15" s="74" t="s">
        <v>553</v>
      </c>
      <c r="B15" s="93" t="s">
        <v>255</v>
      </c>
      <c r="C15" t="s">
        <v>253</v>
      </c>
      <c r="D15" s="7" t="s">
        <v>219</v>
      </c>
      <c r="E15">
        <v>1</v>
      </c>
      <c r="K15" s="93"/>
      <c r="L15" s="93"/>
    </row>
    <row r="16" spans="1:14" x14ac:dyDescent="0.25">
      <c r="A16" t="s">
        <v>553</v>
      </c>
      <c r="B16" s="93" t="s">
        <v>180</v>
      </c>
      <c r="C16" t="s">
        <v>257</v>
      </c>
      <c r="D16" s="7" t="s">
        <v>219</v>
      </c>
      <c r="E16">
        <v>1</v>
      </c>
      <c r="K16" s="93"/>
      <c r="L16" s="93"/>
    </row>
    <row r="17" spans="1:5" x14ac:dyDescent="0.25">
      <c r="A17" t="s">
        <v>216</v>
      </c>
      <c r="B17" s="93" t="s">
        <v>230</v>
      </c>
      <c r="C17" t="s">
        <v>231</v>
      </c>
      <c r="D17" s="7" t="s">
        <v>219</v>
      </c>
      <c r="E17">
        <v>1</v>
      </c>
    </row>
    <row r="18" spans="1:5" x14ac:dyDescent="0.25">
      <c r="A18" t="s">
        <v>216</v>
      </c>
      <c r="B18" s="93" t="s">
        <v>220</v>
      </c>
      <c r="C18" t="s">
        <v>221</v>
      </c>
      <c r="D18" s="7" t="s">
        <v>219</v>
      </c>
      <c r="E18">
        <v>1</v>
      </c>
    </row>
    <row r="19" spans="1:5" x14ac:dyDescent="0.25">
      <c r="A19" t="s">
        <v>553</v>
      </c>
      <c r="B19" s="93" t="s">
        <v>557</v>
      </c>
      <c r="C19" t="s">
        <v>221</v>
      </c>
      <c r="D19" s="7" t="s">
        <v>219</v>
      </c>
      <c r="E19">
        <v>1</v>
      </c>
    </row>
    <row r="20" spans="1:5" x14ac:dyDescent="0.25">
      <c r="A20" t="s">
        <v>216</v>
      </c>
      <c r="B20" s="93" t="s">
        <v>233</v>
      </c>
      <c r="C20" t="s">
        <v>221</v>
      </c>
      <c r="D20" s="7" t="s">
        <v>219</v>
      </c>
      <c r="E20">
        <v>1</v>
      </c>
    </row>
    <row r="21" spans="1:5" x14ac:dyDescent="0.25">
      <c r="A21" t="s">
        <v>216</v>
      </c>
      <c r="B21" s="93" t="s">
        <v>226</v>
      </c>
      <c r="C21" t="s">
        <v>227</v>
      </c>
      <c r="D21" s="7" t="s">
        <v>219</v>
      </c>
      <c r="E21">
        <v>1</v>
      </c>
    </row>
    <row r="22" spans="1:5" x14ac:dyDescent="0.25">
      <c r="A22" t="s">
        <v>556</v>
      </c>
      <c r="B22" s="93" t="s">
        <v>558</v>
      </c>
      <c r="C22" t="s">
        <v>559</v>
      </c>
      <c r="D22" s="7" t="s">
        <v>219</v>
      </c>
      <c r="E22">
        <v>1</v>
      </c>
    </row>
    <row r="23" spans="1:5" x14ac:dyDescent="0.25">
      <c r="A23" t="s">
        <v>216</v>
      </c>
      <c r="B23" s="93" t="s">
        <v>217</v>
      </c>
      <c r="C23" t="s">
        <v>218</v>
      </c>
      <c r="D23" s="7" t="s">
        <v>219</v>
      </c>
      <c r="E23">
        <v>1</v>
      </c>
    </row>
    <row r="24" spans="1:5" x14ac:dyDescent="0.25">
      <c r="A24" t="s">
        <v>216</v>
      </c>
      <c r="B24" s="93" t="s">
        <v>232</v>
      </c>
      <c r="C24" t="s">
        <v>218</v>
      </c>
      <c r="D24" s="7" t="s">
        <v>219</v>
      </c>
      <c r="E24">
        <v>1</v>
      </c>
    </row>
    <row r="25" spans="1:5" x14ac:dyDescent="0.25">
      <c r="A25" t="s">
        <v>556</v>
      </c>
      <c r="B25" s="93" t="s">
        <v>262</v>
      </c>
      <c r="C25" t="s">
        <v>218</v>
      </c>
      <c r="D25" s="7" t="s">
        <v>219</v>
      </c>
      <c r="E25">
        <v>1</v>
      </c>
    </row>
    <row r="26" spans="1:5" x14ac:dyDescent="0.25">
      <c r="A26" t="s">
        <v>216</v>
      </c>
      <c r="B26" s="93" t="s">
        <v>224</v>
      </c>
      <c r="C26" t="s">
        <v>225</v>
      </c>
      <c r="D26" s="7" t="s">
        <v>219</v>
      </c>
      <c r="E26">
        <v>1</v>
      </c>
    </row>
    <row r="27" spans="1:5" x14ac:dyDescent="0.25">
      <c r="A27" t="s">
        <v>556</v>
      </c>
      <c r="B27" s="93" t="s">
        <v>228</v>
      </c>
      <c r="C27" t="s">
        <v>560</v>
      </c>
      <c r="D27" s="7" t="s">
        <v>219</v>
      </c>
      <c r="E27">
        <v>1</v>
      </c>
    </row>
    <row r="28" spans="1:5" x14ac:dyDescent="0.25">
      <c r="B28" s="93"/>
      <c r="D28" s="7"/>
    </row>
    <row r="29" spans="1:5" x14ac:dyDescent="0.25">
      <c r="D29" s="93"/>
    </row>
    <row r="30" spans="1:5" x14ac:dyDescent="0.25">
      <c r="D30" s="93"/>
    </row>
    <row r="31" spans="1:5" x14ac:dyDescent="0.25">
      <c r="D31" s="93"/>
    </row>
    <row r="32" spans="1:5" x14ac:dyDescent="0.25">
      <c r="D32" s="93"/>
    </row>
    <row r="33" spans="4:4" x14ac:dyDescent="0.25">
      <c r="D33" s="93"/>
    </row>
    <row r="34" spans="4:4" x14ac:dyDescent="0.25">
      <c r="D34" s="93"/>
    </row>
    <row r="35" spans="4:4" x14ac:dyDescent="0.25">
      <c r="D35" s="93"/>
    </row>
    <row r="36" spans="4:4" x14ac:dyDescent="0.25">
      <c r="D36" s="93"/>
    </row>
    <row r="37" spans="4:4" x14ac:dyDescent="0.25">
      <c r="D37" s="93"/>
    </row>
    <row r="38" spans="4:4" x14ac:dyDescent="0.25">
      <c r="D38" s="93"/>
    </row>
    <row r="39" spans="4:4" x14ac:dyDescent="0.25">
      <c r="D39" s="93"/>
    </row>
    <row r="40" spans="4:4" x14ac:dyDescent="0.25">
      <c r="D40" s="93"/>
    </row>
    <row r="41" spans="4:4" x14ac:dyDescent="0.25">
      <c r="D41" s="93"/>
    </row>
    <row r="42" spans="4:4" x14ac:dyDescent="0.25">
      <c r="D42" s="93"/>
    </row>
    <row r="43" spans="4:4" x14ac:dyDescent="0.25">
      <c r="D43" s="93"/>
    </row>
    <row r="44" spans="4:4" x14ac:dyDescent="0.25">
      <c r="D44" s="93"/>
    </row>
    <row r="45" spans="4:4" x14ac:dyDescent="0.25">
      <c r="D45" s="93"/>
    </row>
    <row r="46" spans="4:4" x14ac:dyDescent="0.25">
      <c r="D46" s="93"/>
    </row>
    <row r="47" spans="4:4" x14ac:dyDescent="0.25">
      <c r="D47" s="93"/>
    </row>
    <row r="48" spans="4:4" x14ac:dyDescent="0.25">
      <c r="D48" s="93"/>
    </row>
    <row r="49" spans="4:4" x14ac:dyDescent="0.25">
      <c r="D49" s="93"/>
    </row>
    <row r="50" spans="4:4" x14ac:dyDescent="0.25">
      <c r="D50" s="93"/>
    </row>
    <row r="51" spans="4:4" x14ac:dyDescent="0.25">
      <c r="D51" s="93"/>
    </row>
    <row r="52" spans="4:4" x14ac:dyDescent="0.25">
      <c r="D52" s="93"/>
    </row>
    <row r="53" spans="4:4" x14ac:dyDescent="0.25">
      <c r="D53" s="93"/>
    </row>
    <row r="54" spans="4:4" x14ac:dyDescent="0.25">
      <c r="D54" s="93"/>
    </row>
    <row r="55" spans="4:4" x14ac:dyDescent="0.25">
      <c r="D55" s="93"/>
    </row>
    <row r="56" spans="4:4" x14ac:dyDescent="0.25">
      <c r="D56" s="93"/>
    </row>
    <row r="57" spans="4:4" x14ac:dyDescent="0.25">
      <c r="D57" s="93"/>
    </row>
    <row r="58" spans="4:4" x14ac:dyDescent="0.25">
      <c r="D58" s="93"/>
    </row>
    <row r="59" spans="4:4" x14ac:dyDescent="0.25">
      <c r="D59" s="93"/>
    </row>
    <row r="60" spans="4:4" x14ac:dyDescent="0.25">
      <c r="D60" s="93"/>
    </row>
    <row r="61" spans="4:4" x14ac:dyDescent="0.25">
      <c r="D61" s="93"/>
    </row>
    <row r="62" spans="4:4" x14ac:dyDescent="0.25">
      <c r="D62" s="93"/>
    </row>
    <row r="63" spans="4:4" x14ac:dyDescent="0.25">
      <c r="D63" s="93"/>
    </row>
    <row r="64" spans="4:4" x14ac:dyDescent="0.25">
      <c r="D64" s="93"/>
    </row>
    <row r="65" spans="4:4" x14ac:dyDescent="0.25">
      <c r="D65" s="93"/>
    </row>
    <row r="66" spans="4:4" x14ac:dyDescent="0.25">
      <c r="D66" s="93"/>
    </row>
    <row r="67" spans="4:4" x14ac:dyDescent="0.25">
      <c r="D67" s="93"/>
    </row>
    <row r="68" spans="4:4" x14ac:dyDescent="0.25">
      <c r="D68" s="93"/>
    </row>
    <row r="69" spans="4:4" x14ac:dyDescent="0.25">
      <c r="D69" s="93"/>
    </row>
    <row r="70" spans="4:4" x14ac:dyDescent="0.25">
      <c r="D70" s="93"/>
    </row>
    <row r="71" spans="4:4" x14ac:dyDescent="0.25">
      <c r="D71" s="93"/>
    </row>
    <row r="72" spans="4:4" x14ac:dyDescent="0.25">
      <c r="D72" s="93"/>
    </row>
    <row r="73" spans="4:4" x14ac:dyDescent="0.25">
      <c r="D73" s="93"/>
    </row>
    <row r="74" spans="4:4" x14ac:dyDescent="0.25">
      <c r="D74" s="93"/>
    </row>
    <row r="75" spans="4:4" x14ac:dyDescent="0.25">
      <c r="D75" s="93"/>
    </row>
    <row r="76" spans="4:4" x14ac:dyDescent="0.25">
      <c r="D76" s="93"/>
    </row>
    <row r="77" spans="4:4" x14ac:dyDescent="0.25">
      <c r="D77" s="93"/>
    </row>
    <row r="78" spans="4:4" x14ac:dyDescent="0.25">
      <c r="D78" s="93"/>
    </row>
    <row r="79" spans="4:4" x14ac:dyDescent="0.25">
      <c r="D79" s="93"/>
    </row>
    <row r="80" spans="4:4" x14ac:dyDescent="0.25">
      <c r="D80" s="93"/>
    </row>
    <row r="81" spans="4:4" x14ac:dyDescent="0.25">
      <c r="D81" s="93"/>
    </row>
    <row r="82" spans="4:4" x14ac:dyDescent="0.25">
      <c r="D82" s="93"/>
    </row>
    <row r="83" spans="4:4" x14ac:dyDescent="0.25">
      <c r="D83" s="93"/>
    </row>
    <row r="84" spans="4:4" x14ac:dyDescent="0.25">
      <c r="D84" s="93"/>
    </row>
    <row r="85" spans="4:4" x14ac:dyDescent="0.25">
      <c r="D85" s="93"/>
    </row>
    <row r="86" spans="4:4" x14ac:dyDescent="0.25">
      <c r="D86" s="93"/>
    </row>
    <row r="87" spans="4:4" x14ac:dyDescent="0.25">
      <c r="D87" s="93"/>
    </row>
    <row r="88" spans="4:4" x14ac:dyDescent="0.25">
      <c r="D88" s="93"/>
    </row>
    <row r="89" spans="4:4" x14ac:dyDescent="0.25">
      <c r="D89" s="93"/>
    </row>
    <row r="90" spans="4:4" x14ac:dyDescent="0.25">
      <c r="D90" s="93"/>
    </row>
    <row r="91" spans="4:4" x14ac:dyDescent="0.25">
      <c r="D91" s="93"/>
    </row>
    <row r="92" spans="4:4" x14ac:dyDescent="0.25">
      <c r="D92" s="93"/>
    </row>
    <row r="93" spans="4:4" x14ac:dyDescent="0.25">
      <c r="D93" s="93"/>
    </row>
    <row r="94" spans="4:4" x14ac:dyDescent="0.25">
      <c r="D94" s="93"/>
    </row>
    <row r="95" spans="4:4" x14ac:dyDescent="0.25">
      <c r="D95" s="93"/>
    </row>
    <row r="96" spans="4:4" x14ac:dyDescent="0.25">
      <c r="D96" s="93"/>
    </row>
    <row r="97" spans="4:4" x14ac:dyDescent="0.25">
      <c r="D97" s="93"/>
    </row>
    <row r="98" spans="4:4" x14ac:dyDescent="0.25">
      <c r="D98" s="93"/>
    </row>
    <row r="99" spans="4:4" x14ac:dyDescent="0.25">
      <c r="D99" s="93"/>
    </row>
    <row r="100" spans="4:4" x14ac:dyDescent="0.25">
      <c r="D100" s="93"/>
    </row>
    <row r="101" spans="4:4" x14ac:dyDescent="0.25">
      <c r="D101" s="93"/>
    </row>
    <row r="102" spans="4:4" x14ac:dyDescent="0.25">
      <c r="D102" s="93"/>
    </row>
    <row r="103" spans="4:4" x14ac:dyDescent="0.25">
      <c r="D103" s="93"/>
    </row>
    <row r="104" spans="4:4" x14ac:dyDescent="0.25">
      <c r="D104" s="93"/>
    </row>
    <row r="105" spans="4:4" x14ac:dyDescent="0.25">
      <c r="D105" s="93"/>
    </row>
    <row r="106" spans="4:4" x14ac:dyDescent="0.25">
      <c r="D106" s="93"/>
    </row>
    <row r="107" spans="4:4" x14ac:dyDescent="0.25">
      <c r="D107" s="93"/>
    </row>
    <row r="108" spans="4:4" x14ac:dyDescent="0.25">
      <c r="D108" s="93"/>
    </row>
    <row r="109" spans="4:4" x14ac:dyDescent="0.25">
      <c r="D109" s="93"/>
    </row>
    <row r="110" spans="4:4" x14ac:dyDescent="0.25">
      <c r="D110" s="93"/>
    </row>
    <row r="111" spans="4:4" x14ac:dyDescent="0.25">
      <c r="D111" s="93"/>
    </row>
    <row r="112" spans="4:4" x14ac:dyDescent="0.25">
      <c r="D112" s="93"/>
    </row>
    <row r="113" spans="4:4" x14ac:dyDescent="0.25">
      <c r="D113" s="93"/>
    </row>
    <row r="114" spans="4:4" x14ac:dyDescent="0.25">
      <c r="D114" s="93"/>
    </row>
    <row r="115" spans="4:4" x14ac:dyDescent="0.25">
      <c r="D115" s="93"/>
    </row>
    <row r="116" spans="4:4" x14ac:dyDescent="0.25">
      <c r="D116" s="93"/>
    </row>
    <row r="117" spans="4:4" x14ac:dyDescent="0.25">
      <c r="D117" s="93"/>
    </row>
    <row r="118" spans="4:4" x14ac:dyDescent="0.25">
      <c r="D118" s="93"/>
    </row>
    <row r="119" spans="4:4" x14ac:dyDescent="0.25">
      <c r="D119" s="93"/>
    </row>
    <row r="120" spans="4:4" x14ac:dyDescent="0.25">
      <c r="D120" s="93"/>
    </row>
    <row r="121" spans="4:4" x14ac:dyDescent="0.25">
      <c r="D121" s="93"/>
    </row>
    <row r="122" spans="4:4" x14ac:dyDescent="0.25">
      <c r="D122" s="93"/>
    </row>
    <row r="123" spans="4:4" x14ac:dyDescent="0.25">
      <c r="D123" s="93"/>
    </row>
    <row r="124" spans="4:4" x14ac:dyDescent="0.25">
      <c r="D124" s="93"/>
    </row>
    <row r="125" spans="4:4" x14ac:dyDescent="0.25">
      <c r="D125" s="93"/>
    </row>
    <row r="126" spans="4:4" x14ac:dyDescent="0.25">
      <c r="D126" s="93"/>
    </row>
    <row r="127" spans="4:4" x14ac:dyDescent="0.25">
      <c r="D127" s="93"/>
    </row>
    <row r="128" spans="4:4" x14ac:dyDescent="0.25">
      <c r="D128" s="93"/>
    </row>
    <row r="129" spans="4:4" x14ac:dyDescent="0.25">
      <c r="D129" s="93"/>
    </row>
    <row r="130" spans="4:4" x14ac:dyDescent="0.25">
      <c r="D130" s="93"/>
    </row>
    <row r="131" spans="4:4" x14ac:dyDescent="0.25">
      <c r="D131" s="93"/>
    </row>
    <row r="132" spans="4:4" x14ac:dyDescent="0.25">
      <c r="D132" s="93"/>
    </row>
    <row r="133" spans="4:4" x14ac:dyDescent="0.25">
      <c r="D133" s="93"/>
    </row>
    <row r="134" spans="4:4" x14ac:dyDescent="0.25">
      <c r="D134" s="93"/>
    </row>
    <row r="135" spans="4:4" x14ac:dyDescent="0.25">
      <c r="D135" s="93"/>
    </row>
    <row r="136" spans="4:4" x14ac:dyDescent="0.25">
      <c r="D136" s="93"/>
    </row>
    <row r="137" spans="4:4" x14ac:dyDescent="0.25">
      <c r="D137" s="93"/>
    </row>
    <row r="138" spans="4:4" x14ac:dyDescent="0.25">
      <c r="D138" s="93"/>
    </row>
    <row r="139" spans="4:4" x14ac:dyDescent="0.25">
      <c r="D139" s="93"/>
    </row>
    <row r="140" spans="4:4" x14ac:dyDescent="0.25">
      <c r="D140" s="93"/>
    </row>
    <row r="141" spans="4:4" x14ac:dyDescent="0.25">
      <c r="D141" s="93"/>
    </row>
    <row r="142" spans="4:4" x14ac:dyDescent="0.25">
      <c r="D142" s="93"/>
    </row>
    <row r="143" spans="4:4" x14ac:dyDescent="0.25">
      <c r="D143" s="93"/>
    </row>
    <row r="144" spans="4:4" x14ac:dyDescent="0.25">
      <c r="D144" s="93"/>
    </row>
    <row r="145" spans="4:4" x14ac:dyDescent="0.25">
      <c r="D145" s="93"/>
    </row>
    <row r="146" spans="4:4" x14ac:dyDescent="0.25">
      <c r="D146" s="93"/>
    </row>
    <row r="147" spans="4:4" x14ac:dyDescent="0.25">
      <c r="D147" s="93"/>
    </row>
    <row r="148" spans="4:4" x14ac:dyDescent="0.25">
      <c r="D148" s="93"/>
    </row>
    <row r="149" spans="4:4" x14ac:dyDescent="0.25">
      <c r="D149" s="93"/>
    </row>
    <row r="150" spans="4:4" x14ac:dyDescent="0.25">
      <c r="D150" s="93"/>
    </row>
    <row r="151" spans="4:4" x14ac:dyDescent="0.25">
      <c r="D151" s="93"/>
    </row>
    <row r="152" spans="4:4" x14ac:dyDescent="0.25">
      <c r="D152" s="93"/>
    </row>
    <row r="153" spans="4:4" x14ac:dyDescent="0.25">
      <c r="D153" s="93"/>
    </row>
    <row r="154" spans="4:4" x14ac:dyDescent="0.25">
      <c r="D154" s="93"/>
    </row>
    <row r="155" spans="4:4" x14ac:dyDescent="0.25">
      <c r="D155" s="93"/>
    </row>
    <row r="156" spans="4:4" x14ac:dyDescent="0.25">
      <c r="D156" s="93"/>
    </row>
    <row r="157" spans="4:4" x14ac:dyDescent="0.25">
      <c r="D157" s="93"/>
    </row>
    <row r="158" spans="4:4" x14ac:dyDescent="0.25">
      <c r="D158" s="93"/>
    </row>
    <row r="159" spans="4:4" x14ac:dyDescent="0.25">
      <c r="D159" s="93"/>
    </row>
    <row r="160" spans="4:4" x14ac:dyDescent="0.25">
      <c r="D160" s="93"/>
    </row>
    <row r="161" spans="4:4" x14ac:dyDescent="0.25">
      <c r="D161" s="93"/>
    </row>
    <row r="162" spans="4:4" x14ac:dyDescent="0.25">
      <c r="D162" s="93"/>
    </row>
    <row r="163" spans="4:4" x14ac:dyDescent="0.25">
      <c r="D163" s="93"/>
    </row>
    <row r="164" spans="4:4" x14ac:dyDescent="0.25">
      <c r="D164" s="93"/>
    </row>
    <row r="165" spans="4:4" x14ac:dyDescent="0.25">
      <c r="D165" s="93"/>
    </row>
    <row r="166" spans="4:4" x14ac:dyDescent="0.25">
      <c r="D166" s="93"/>
    </row>
    <row r="167" spans="4:4" x14ac:dyDescent="0.25">
      <c r="D167" s="93"/>
    </row>
    <row r="168" spans="4:4" x14ac:dyDescent="0.25">
      <c r="D168" s="93"/>
    </row>
    <row r="169" spans="4:4" x14ac:dyDescent="0.25">
      <c r="D169" s="93"/>
    </row>
    <row r="170" spans="4:4" x14ac:dyDescent="0.25">
      <c r="D170" s="93"/>
    </row>
    <row r="171" spans="4:4" x14ac:dyDescent="0.25">
      <c r="D171" s="93"/>
    </row>
    <row r="172" spans="4:4" x14ac:dyDescent="0.25">
      <c r="D172" s="93"/>
    </row>
    <row r="173" spans="4:4" x14ac:dyDescent="0.25">
      <c r="D173" s="93"/>
    </row>
    <row r="174" spans="4:4" x14ac:dyDescent="0.25">
      <c r="D174" s="93"/>
    </row>
    <row r="175" spans="4:4" x14ac:dyDescent="0.25">
      <c r="D175" s="93"/>
    </row>
    <row r="176" spans="4:4" x14ac:dyDescent="0.25">
      <c r="D176" s="93"/>
    </row>
    <row r="177" spans="4:4" x14ac:dyDescent="0.25">
      <c r="D177" s="93"/>
    </row>
    <row r="178" spans="4:4" x14ac:dyDescent="0.25">
      <c r="D178" s="93"/>
    </row>
    <row r="179" spans="4:4" x14ac:dyDescent="0.25">
      <c r="D179" s="93"/>
    </row>
    <row r="180" spans="4:4" x14ac:dyDescent="0.25">
      <c r="D180" s="93"/>
    </row>
    <row r="181" spans="4:4" x14ac:dyDescent="0.25">
      <c r="D181" s="93"/>
    </row>
    <row r="182" spans="4:4" x14ac:dyDescent="0.25">
      <c r="D182" s="93"/>
    </row>
    <row r="183" spans="4:4" x14ac:dyDescent="0.25">
      <c r="D183" s="93"/>
    </row>
    <row r="184" spans="4:4" x14ac:dyDescent="0.25">
      <c r="D184" s="93"/>
    </row>
    <row r="185" spans="4:4" x14ac:dyDescent="0.25">
      <c r="D185" s="93"/>
    </row>
    <row r="186" spans="4:4" x14ac:dyDescent="0.25">
      <c r="D186" s="93"/>
    </row>
    <row r="187" spans="4:4" x14ac:dyDescent="0.25">
      <c r="D187" s="93"/>
    </row>
    <row r="188" spans="4:4" x14ac:dyDescent="0.25">
      <c r="D188" s="93"/>
    </row>
    <row r="189" spans="4:4" x14ac:dyDescent="0.25">
      <c r="D189" s="93"/>
    </row>
    <row r="190" spans="4:4" x14ac:dyDescent="0.25">
      <c r="D190" s="93"/>
    </row>
    <row r="191" spans="4:4" x14ac:dyDescent="0.25">
      <c r="D191" s="93"/>
    </row>
    <row r="192" spans="4:4" x14ac:dyDescent="0.25">
      <c r="D192" s="93"/>
    </row>
    <row r="193" spans="4:4" x14ac:dyDescent="0.25">
      <c r="D193" s="93"/>
    </row>
    <row r="194" spans="4:4" x14ac:dyDescent="0.25">
      <c r="D194" s="93"/>
    </row>
    <row r="195" spans="4:4" x14ac:dyDescent="0.25">
      <c r="D195" s="93"/>
    </row>
    <row r="196" spans="4:4" x14ac:dyDescent="0.25">
      <c r="D196" s="93"/>
    </row>
    <row r="197" spans="4:4" x14ac:dyDescent="0.25">
      <c r="D197" s="93"/>
    </row>
    <row r="198" spans="4:4" x14ac:dyDescent="0.25">
      <c r="D198" s="93"/>
    </row>
    <row r="199" spans="4:4" x14ac:dyDescent="0.25">
      <c r="D199" s="93"/>
    </row>
    <row r="200" spans="4:4" x14ac:dyDescent="0.25">
      <c r="D200" s="93"/>
    </row>
    <row r="201" spans="4:4" x14ac:dyDescent="0.25">
      <c r="D201" s="93"/>
    </row>
    <row r="202" spans="4:4" x14ac:dyDescent="0.25">
      <c r="D202" s="93"/>
    </row>
    <row r="203" spans="4:4" x14ac:dyDescent="0.25">
      <c r="D203" s="93"/>
    </row>
    <row r="204" spans="4:4" x14ac:dyDescent="0.25">
      <c r="D204" s="93"/>
    </row>
    <row r="205" spans="4:4" x14ac:dyDescent="0.25">
      <c r="D205" s="93"/>
    </row>
    <row r="206" spans="4:4" x14ac:dyDescent="0.25">
      <c r="D206" s="93"/>
    </row>
    <row r="207" spans="4:4" x14ac:dyDescent="0.25">
      <c r="D207" s="93"/>
    </row>
    <row r="208" spans="4:4" x14ac:dyDescent="0.25">
      <c r="D208" s="93"/>
    </row>
    <row r="209" spans="4:4" x14ac:dyDescent="0.25">
      <c r="D209" s="93"/>
    </row>
    <row r="210" spans="4:4" x14ac:dyDescent="0.25">
      <c r="D210" s="93"/>
    </row>
    <row r="211" spans="4:4" x14ac:dyDescent="0.25">
      <c r="D211" s="93"/>
    </row>
    <row r="212" spans="4:4" x14ac:dyDescent="0.25">
      <c r="D212" s="93"/>
    </row>
    <row r="213" spans="4:4" x14ac:dyDescent="0.25">
      <c r="D213" s="93"/>
    </row>
    <row r="214" spans="4:4" x14ac:dyDescent="0.25">
      <c r="D214" s="93"/>
    </row>
    <row r="215" spans="4:4" x14ac:dyDescent="0.25">
      <c r="D215" s="93"/>
    </row>
    <row r="216" spans="4:4" x14ac:dyDescent="0.25">
      <c r="D216" s="93"/>
    </row>
    <row r="217" spans="4:4" x14ac:dyDescent="0.25">
      <c r="D217" s="93"/>
    </row>
    <row r="218" spans="4:4" x14ac:dyDescent="0.25">
      <c r="D218" s="93"/>
    </row>
    <row r="219" spans="4:4" x14ac:dyDescent="0.25">
      <c r="D219" s="93"/>
    </row>
    <row r="220" spans="4:4" x14ac:dyDescent="0.25">
      <c r="D220" s="93"/>
    </row>
    <row r="221" spans="4:4" x14ac:dyDescent="0.25">
      <c r="D221" s="93"/>
    </row>
    <row r="222" spans="4:4" x14ac:dyDescent="0.25">
      <c r="D222" s="93"/>
    </row>
    <row r="223" spans="4:4" x14ac:dyDescent="0.25">
      <c r="D223" s="93"/>
    </row>
    <row r="224" spans="4:4" x14ac:dyDescent="0.25">
      <c r="D224" s="93"/>
    </row>
    <row r="225" spans="4:4" x14ac:dyDescent="0.25">
      <c r="D225" s="93"/>
    </row>
    <row r="226" spans="4:4" x14ac:dyDescent="0.25">
      <c r="D226" s="93"/>
    </row>
    <row r="227" spans="4:4" x14ac:dyDescent="0.25">
      <c r="D227" s="93"/>
    </row>
    <row r="228" spans="4:4" x14ac:dyDescent="0.25">
      <c r="D228" s="93"/>
    </row>
    <row r="229" spans="4:4" x14ac:dyDescent="0.25">
      <c r="D229" s="93"/>
    </row>
    <row r="230" spans="4:4" x14ac:dyDescent="0.25">
      <c r="D230" s="93"/>
    </row>
    <row r="231" spans="4:4" x14ac:dyDescent="0.25">
      <c r="D231" s="93"/>
    </row>
    <row r="232" spans="4:4" x14ac:dyDescent="0.25">
      <c r="D232" s="93"/>
    </row>
    <row r="233" spans="4:4" x14ac:dyDescent="0.25">
      <c r="D233" s="93"/>
    </row>
    <row r="234" spans="4:4" x14ac:dyDescent="0.25">
      <c r="D234" s="93"/>
    </row>
    <row r="235" spans="4:4" x14ac:dyDescent="0.25">
      <c r="D235" s="93"/>
    </row>
    <row r="236" spans="4:4" x14ac:dyDescent="0.25">
      <c r="D236" s="93"/>
    </row>
    <row r="237" spans="4:4" x14ac:dyDescent="0.25">
      <c r="D237" s="93"/>
    </row>
    <row r="238" spans="4:4" x14ac:dyDescent="0.25">
      <c r="D238" s="93"/>
    </row>
    <row r="239" spans="4:4" x14ac:dyDescent="0.25">
      <c r="D239" s="93"/>
    </row>
    <row r="240" spans="4:4" x14ac:dyDescent="0.25">
      <c r="D240" s="93"/>
    </row>
    <row r="241" spans="4:4" x14ac:dyDescent="0.25">
      <c r="D241" s="93"/>
    </row>
    <row r="242" spans="4:4" x14ac:dyDescent="0.25">
      <c r="D242" s="93"/>
    </row>
    <row r="243" spans="4:4" x14ac:dyDescent="0.25">
      <c r="D243" s="93"/>
    </row>
    <row r="244" spans="4:4" x14ac:dyDescent="0.25">
      <c r="D244" s="93"/>
    </row>
    <row r="245" spans="4:4" x14ac:dyDescent="0.25">
      <c r="D245" s="93"/>
    </row>
    <row r="246" spans="4:4" x14ac:dyDescent="0.25">
      <c r="D246" s="93"/>
    </row>
    <row r="247" spans="4:4" x14ac:dyDescent="0.25">
      <c r="D247" s="93"/>
    </row>
    <row r="248" spans="4:4" x14ac:dyDescent="0.25">
      <c r="D248" s="93"/>
    </row>
    <row r="249" spans="4:4" x14ac:dyDescent="0.25">
      <c r="D249" s="93"/>
    </row>
    <row r="250" spans="4:4" x14ac:dyDescent="0.25">
      <c r="D250" s="93"/>
    </row>
    <row r="251" spans="4:4" x14ac:dyDescent="0.25">
      <c r="D251" s="93"/>
    </row>
    <row r="252" spans="4:4" x14ac:dyDescent="0.25">
      <c r="D252" s="93"/>
    </row>
    <row r="253" spans="4:4" x14ac:dyDescent="0.25">
      <c r="D253" s="93"/>
    </row>
    <row r="254" spans="4:4" x14ac:dyDescent="0.25">
      <c r="D254" s="93"/>
    </row>
    <row r="255" spans="4:4" x14ac:dyDescent="0.25">
      <c r="D255" s="93"/>
    </row>
    <row r="256" spans="4:4" x14ac:dyDescent="0.25">
      <c r="D256" s="93"/>
    </row>
    <row r="257" spans="4:4" x14ac:dyDescent="0.25">
      <c r="D257" s="93"/>
    </row>
    <row r="258" spans="4:4" x14ac:dyDescent="0.25">
      <c r="D258" s="93"/>
    </row>
    <row r="259" spans="4:4" x14ac:dyDescent="0.25">
      <c r="D259" s="93"/>
    </row>
    <row r="260" spans="4:4" x14ac:dyDescent="0.25">
      <c r="D260" s="93"/>
    </row>
    <row r="261" spans="4:4" x14ac:dyDescent="0.25">
      <c r="D261" s="93"/>
    </row>
    <row r="262" spans="4:4" x14ac:dyDescent="0.25">
      <c r="D262" s="93"/>
    </row>
    <row r="263" spans="4:4" x14ac:dyDescent="0.25">
      <c r="D263" s="93"/>
    </row>
    <row r="264" spans="4:4" x14ac:dyDescent="0.25">
      <c r="D264" s="93"/>
    </row>
    <row r="265" spans="4:4" x14ac:dyDescent="0.25">
      <c r="D265" s="93"/>
    </row>
    <row r="266" spans="4:4" x14ac:dyDescent="0.25">
      <c r="D266" s="93"/>
    </row>
    <row r="267" spans="4:4" x14ac:dyDescent="0.25">
      <c r="D267" s="93"/>
    </row>
    <row r="268" spans="4:4" x14ac:dyDescent="0.25">
      <c r="D268" s="93"/>
    </row>
    <row r="269" spans="4:4" x14ac:dyDescent="0.25">
      <c r="D269" s="93"/>
    </row>
    <row r="270" spans="4:4" x14ac:dyDescent="0.25">
      <c r="D270" s="93"/>
    </row>
    <row r="271" spans="4:4" x14ac:dyDescent="0.25">
      <c r="D271" s="93"/>
    </row>
    <row r="272" spans="4:4" x14ac:dyDescent="0.25">
      <c r="D272" s="93"/>
    </row>
    <row r="273" spans="4:4" x14ac:dyDescent="0.25">
      <c r="D273" s="93"/>
    </row>
    <row r="274" spans="4:4" x14ac:dyDescent="0.25">
      <c r="D274" s="93"/>
    </row>
    <row r="275" spans="4:4" x14ac:dyDescent="0.25">
      <c r="D275" s="93"/>
    </row>
    <row r="276" spans="4:4" x14ac:dyDescent="0.25">
      <c r="D276" s="93"/>
    </row>
    <row r="277" spans="4:4" x14ac:dyDescent="0.25">
      <c r="D277" s="93"/>
    </row>
    <row r="278" spans="4:4" x14ac:dyDescent="0.25">
      <c r="D278" s="93"/>
    </row>
    <row r="279" spans="4:4" x14ac:dyDescent="0.25">
      <c r="D279" s="93"/>
    </row>
    <row r="280" spans="4:4" x14ac:dyDescent="0.25">
      <c r="D280" s="93"/>
    </row>
    <row r="281" spans="4:4" x14ac:dyDescent="0.25">
      <c r="D281" s="93"/>
    </row>
    <row r="282" spans="4:4" x14ac:dyDescent="0.25">
      <c r="D282" s="93"/>
    </row>
    <row r="283" spans="4:4" x14ac:dyDescent="0.25">
      <c r="D283" s="93"/>
    </row>
    <row r="284" spans="4:4" x14ac:dyDescent="0.25">
      <c r="D284" s="93"/>
    </row>
    <row r="285" spans="4:4" x14ac:dyDescent="0.25">
      <c r="D285" s="93"/>
    </row>
    <row r="286" spans="4:4" x14ac:dyDescent="0.25">
      <c r="D286" s="93"/>
    </row>
    <row r="287" spans="4:4" x14ac:dyDescent="0.25">
      <c r="D287" s="93"/>
    </row>
    <row r="288" spans="4:4" x14ac:dyDescent="0.25">
      <c r="D288" s="93"/>
    </row>
    <row r="289" spans="4:4" x14ac:dyDescent="0.25">
      <c r="D289" s="93"/>
    </row>
    <row r="290" spans="4:4" x14ac:dyDescent="0.25">
      <c r="D290" s="93"/>
    </row>
    <row r="291" spans="4:4" x14ac:dyDescent="0.25">
      <c r="D291" s="93"/>
    </row>
    <row r="292" spans="4:4" x14ac:dyDescent="0.25">
      <c r="D292" s="93"/>
    </row>
    <row r="293" spans="4:4" x14ac:dyDescent="0.25">
      <c r="D293" s="93"/>
    </row>
    <row r="294" spans="4:4" x14ac:dyDescent="0.25">
      <c r="D294" s="93"/>
    </row>
    <row r="295" spans="4:4" x14ac:dyDescent="0.25">
      <c r="D295" s="93"/>
    </row>
  </sheetData>
  <sheetProtection algorithmName="SHA-512" hashValue="IniIE1Zx2ErHnLY8GUnSH0wbxuS2PEBPy5R5BWCJCRs2vSRftl2OW1vpCbxZWA86G6JrfU02uycCCdcq6Drfmw==" saltValue="pJ5iaG4lSotsGA6qeH/VgA==" spinCount="100000" sheet="1" objects="1" scenarios="1"/>
  <mergeCells count="1">
    <mergeCell ref="A2:H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308C0-A81F-4087-A220-6918D4117DA0}">
  <sheetPr codeName="Sheet14"/>
  <dimension ref="A1:H294"/>
  <sheetViews>
    <sheetView workbookViewId="0">
      <selection activeCell="I6" sqref="I6"/>
    </sheetView>
  </sheetViews>
  <sheetFormatPr defaultRowHeight="15" x14ac:dyDescent="0.25"/>
  <cols>
    <col min="2" max="2" width="18.7109375" customWidth="1"/>
    <col min="4" max="4" width="12.7109375" customWidth="1"/>
  </cols>
  <sheetData>
    <row r="1" spans="1:8" x14ac:dyDescent="0.25">
      <c r="C1">
        <v>10</v>
      </c>
    </row>
    <row r="2" spans="1:8" ht="20.25" x14ac:dyDescent="0.25">
      <c r="A2" cm="1">
        <f t="array" ref="A2">gradeGenericQuestionRange("Text",A4:E14,C1,Question4!A5:E15)</f>
        <v>4.9090909957885742</v>
      </c>
      <c r="G2" s="90"/>
      <c r="H2" s="139" t="s">
        <v>436</v>
      </c>
    </row>
    <row r="3" spans="1:8" ht="20.25" x14ac:dyDescent="0.25">
      <c r="G3" s="90"/>
      <c r="H3" s="139" t="s">
        <v>437</v>
      </c>
    </row>
    <row r="4" spans="1:8" ht="20.25" x14ac:dyDescent="0.25">
      <c r="A4" t="s">
        <v>211</v>
      </c>
      <c r="B4" s="102" t="s">
        <v>212</v>
      </c>
      <c r="C4" t="s">
        <v>213</v>
      </c>
      <c r="D4" s="93" t="s">
        <v>214</v>
      </c>
      <c r="E4" t="s">
        <v>215</v>
      </c>
      <c r="G4" s="90"/>
      <c r="H4" s="139" t="s">
        <v>438</v>
      </c>
    </row>
    <row r="5" spans="1:8" ht="20.25" x14ac:dyDescent="0.25">
      <c r="A5" t="s">
        <v>216</v>
      </c>
      <c r="B5" s="93" t="s">
        <v>222</v>
      </c>
      <c r="C5" s="93" t="s">
        <v>223</v>
      </c>
      <c r="D5" s="105" t="s">
        <v>219</v>
      </c>
      <c r="E5">
        <v>1</v>
      </c>
      <c r="G5" s="94"/>
      <c r="H5" s="140" t="s">
        <v>439</v>
      </c>
    </row>
    <row r="6" spans="1:8" ht="20.25" x14ac:dyDescent="0.25">
      <c r="A6" t="s">
        <v>216</v>
      </c>
      <c r="B6" s="93" t="s">
        <v>234</v>
      </c>
      <c r="C6" s="93" t="s">
        <v>235</v>
      </c>
      <c r="D6" s="105" t="s">
        <v>219</v>
      </c>
      <c r="E6">
        <v>1</v>
      </c>
      <c r="G6" s="90"/>
      <c r="H6" s="139" t="s">
        <v>440</v>
      </c>
    </row>
    <row r="7" spans="1:8" ht="20.25" x14ac:dyDescent="0.25">
      <c r="A7" t="s">
        <v>216</v>
      </c>
      <c r="B7" s="93" t="s">
        <v>228</v>
      </c>
      <c r="C7" t="s">
        <v>229</v>
      </c>
      <c r="D7" s="105" t="s">
        <v>219</v>
      </c>
      <c r="E7">
        <v>1</v>
      </c>
      <c r="G7" s="90"/>
      <c r="H7" s="139" t="s">
        <v>441</v>
      </c>
    </row>
    <row r="8" spans="1:8" x14ac:dyDescent="0.25">
      <c r="A8" t="s">
        <v>216</v>
      </c>
      <c r="B8" s="93" t="s">
        <v>230</v>
      </c>
      <c r="C8" t="s">
        <v>231</v>
      </c>
      <c r="D8" s="105" t="s">
        <v>219</v>
      </c>
      <c r="E8">
        <v>1</v>
      </c>
      <c r="G8" s="90"/>
      <c r="H8" s="94"/>
    </row>
    <row r="9" spans="1:8" x14ac:dyDescent="0.25">
      <c r="A9" t="s">
        <v>216</v>
      </c>
      <c r="B9" s="93" t="s">
        <v>233</v>
      </c>
      <c r="C9" t="s">
        <v>221</v>
      </c>
      <c r="D9" s="105" t="s">
        <v>219</v>
      </c>
      <c r="E9">
        <v>1</v>
      </c>
      <c r="H9" s="94"/>
    </row>
    <row r="10" spans="1:8" x14ac:dyDescent="0.25">
      <c r="A10" t="s">
        <v>216</v>
      </c>
      <c r="B10" s="93" t="s">
        <v>220</v>
      </c>
      <c r="C10" t="s">
        <v>221</v>
      </c>
      <c r="D10" s="105" t="s">
        <v>219</v>
      </c>
      <c r="E10">
        <v>1</v>
      </c>
      <c r="H10" s="90"/>
    </row>
    <row r="11" spans="1:8" x14ac:dyDescent="0.25">
      <c r="A11" t="s">
        <v>216</v>
      </c>
      <c r="B11" s="93" t="s">
        <v>226</v>
      </c>
      <c r="C11" t="s">
        <v>227</v>
      </c>
      <c r="D11" s="105" t="s">
        <v>219</v>
      </c>
      <c r="E11">
        <v>1</v>
      </c>
    </row>
    <row r="12" spans="1:8" x14ac:dyDescent="0.25">
      <c r="A12" t="s">
        <v>216</v>
      </c>
      <c r="B12" s="93" t="s">
        <v>232</v>
      </c>
      <c r="C12" t="s">
        <v>218</v>
      </c>
      <c r="D12" s="105" t="s">
        <v>219</v>
      </c>
      <c r="E12">
        <v>1</v>
      </c>
    </row>
    <row r="13" spans="1:8" x14ac:dyDescent="0.25">
      <c r="A13" t="s">
        <v>216</v>
      </c>
      <c r="B13" s="93" t="s">
        <v>217</v>
      </c>
      <c r="C13" t="s">
        <v>218</v>
      </c>
      <c r="D13" s="105" t="s">
        <v>219</v>
      </c>
      <c r="E13">
        <v>1</v>
      </c>
    </row>
    <row r="14" spans="1:8" x14ac:dyDescent="0.25">
      <c r="A14" t="s">
        <v>216</v>
      </c>
      <c r="B14" s="93" t="s">
        <v>224</v>
      </c>
      <c r="C14" t="s">
        <v>225</v>
      </c>
      <c r="D14" s="105" t="s">
        <v>219</v>
      </c>
      <c r="E14">
        <v>1</v>
      </c>
    </row>
    <row r="15" spans="1:8" x14ac:dyDescent="0.25">
      <c r="B15" s="93"/>
      <c r="D15" s="7"/>
    </row>
    <row r="16" spans="1:8" x14ac:dyDescent="0.25">
      <c r="B16" s="93"/>
      <c r="D16" s="7"/>
    </row>
    <row r="17" spans="2:4" x14ac:dyDescent="0.25">
      <c r="B17" s="93"/>
      <c r="D17" s="7"/>
    </row>
    <row r="18" spans="2:4" x14ac:dyDescent="0.25">
      <c r="B18" s="93"/>
      <c r="D18" s="7"/>
    </row>
    <row r="19" spans="2:4" x14ac:dyDescent="0.25">
      <c r="B19" s="93"/>
      <c r="D19" s="7"/>
    </row>
    <row r="20" spans="2:4" x14ac:dyDescent="0.25">
      <c r="B20" s="93"/>
      <c r="D20" s="7"/>
    </row>
    <row r="21" spans="2:4" x14ac:dyDescent="0.25">
      <c r="B21" s="93"/>
      <c r="D21" s="7"/>
    </row>
    <row r="22" spans="2:4" x14ac:dyDescent="0.25">
      <c r="B22" s="93"/>
      <c r="D22" s="7"/>
    </row>
    <row r="23" spans="2:4" x14ac:dyDescent="0.25">
      <c r="B23" s="93"/>
      <c r="D23" s="7"/>
    </row>
    <row r="24" spans="2:4" x14ac:dyDescent="0.25">
      <c r="B24" s="93"/>
      <c r="D24" s="7"/>
    </row>
    <row r="25" spans="2:4" x14ac:dyDescent="0.25">
      <c r="B25" s="93"/>
      <c r="D25" s="7"/>
    </row>
    <row r="26" spans="2:4" x14ac:dyDescent="0.25">
      <c r="B26" s="93"/>
      <c r="D26" s="7"/>
    </row>
    <row r="27" spans="2:4" x14ac:dyDescent="0.25">
      <c r="B27" s="93"/>
      <c r="D27" s="7"/>
    </row>
    <row r="28" spans="2:4" x14ac:dyDescent="0.25">
      <c r="D28" s="93"/>
    </row>
    <row r="29" spans="2:4" x14ac:dyDescent="0.25">
      <c r="D29" s="93"/>
    </row>
    <row r="30" spans="2:4" x14ac:dyDescent="0.25">
      <c r="D30" s="93"/>
    </row>
    <row r="31" spans="2:4" x14ac:dyDescent="0.25">
      <c r="D31" s="93"/>
    </row>
    <row r="32" spans="2:4" x14ac:dyDescent="0.25">
      <c r="D32" s="93"/>
    </row>
    <row r="33" spans="4:4" x14ac:dyDescent="0.25">
      <c r="D33" s="93"/>
    </row>
    <row r="34" spans="4:4" x14ac:dyDescent="0.25">
      <c r="D34" s="93"/>
    </row>
    <row r="35" spans="4:4" x14ac:dyDescent="0.25">
      <c r="D35" s="93"/>
    </row>
    <row r="36" spans="4:4" x14ac:dyDescent="0.25">
      <c r="D36" s="93"/>
    </row>
    <row r="37" spans="4:4" x14ac:dyDescent="0.25">
      <c r="D37" s="93"/>
    </row>
    <row r="38" spans="4:4" x14ac:dyDescent="0.25">
      <c r="D38" s="93"/>
    </row>
    <row r="39" spans="4:4" x14ac:dyDescent="0.25">
      <c r="D39" s="93"/>
    </row>
    <row r="40" spans="4:4" x14ac:dyDescent="0.25">
      <c r="D40" s="93"/>
    </row>
    <row r="41" spans="4:4" x14ac:dyDescent="0.25">
      <c r="D41" s="93"/>
    </row>
    <row r="42" spans="4:4" x14ac:dyDescent="0.25">
      <c r="D42" s="93"/>
    </row>
    <row r="43" spans="4:4" x14ac:dyDescent="0.25">
      <c r="D43" s="93"/>
    </row>
    <row r="44" spans="4:4" x14ac:dyDescent="0.25">
      <c r="D44" s="93"/>
    </row>
    <row r="45" spans="4:4" x14ac:dyDescent="0.25">
      <c r="D45" s="93"/>
    </row>
    <row r="46" spans="4:4" x14ac:dyDescent="0.25">
      <c r="D46" s="93"/>
    </row>
    <row r="47" spans="4:4" x14ac:dyDescent="0.25">
      <c r="D47" s="93"/>
    </row>
    <row r="48" spans="4:4" x14ac:dyDescent="0.25">
      <c r="D48" s="93"/>
    </row>
    <row r="49" spans="4:4" x14ac:dyDescent="0.25">
      <c r="D49" s="93"/>
    </row>
    <row r="50" spans="4:4" x14ac:dyDescent="0.25">
      <c r="D50" s="93"/>
    </row>
    <row r="51" spans="4:4" x14ac:dyDescent="0.25">
      <c r="D51" s="93"/>
    </row>
    <row r="52" spans="4:4" x14ac:dyDescent="0.25">
      <c r="D52" s="93"/>
    </row>
    <row r="53" spans="4:4" x14ac:dyDescent="0.25">
      <c r="D53" s="93"/>
    </row>
    <row r="54" spans="4:4" x14ac:dyDescent="0.25">
      <c r="D54" s="93"/>
    </row>
    <row r="55" spans="4:4" x14ac:dyDescent="0.25">
      <c r="D55" s="93"/>
    </row>
    <row r="56" spans="4:4" x14ac:dyDescent="0.25">
      <c r="D56" s="93"/>
    </row>
    <row r="57" spans="4:4" x14ac:dyDescent="0.25">
      <c r="D57" s="93"/>
    </row>
    <row r="58" spans="4:4" x14ac:dyDescent="0.25">
      <c r="D58" s="93"/>
    </row>
    <row r="59" spans="4:4" x14ac:dyDescent="0.25">
      <c r="D59" s="93"/>
    </row>
    <row r="60" spans="4:4" x14ac:dyDescent="0.25">
      <c r="D60" s="93"/>
    </row>
    <row r="61" spans="4:4" x14ac:dyDescent="0.25">
      <c r="D61" s="93"/>
    </row>
    <row r="62" spans="4:4" x14ac:dyDescent="0.25">
      <c r="D62" s="93"/>
    </row>
    <row r="63" spans="4:4" x14ac:dyDescent="0.25">
      <c r="D63" s="93"/>
    </row>
    <row r="64" spans="4:4" x14ac:dyDescent="0.25">
      <c r="D64" s="93"/>
    </row>
    <row r="65" spans="4:4" x14ac:dyDescent="0.25">
      <c r="D65" s="93"/>
    </row>
    <row r="66" spans="4:4" x14ac:dyDescent="0.25">
      <c r="D66" s="93"/>
    </row>
    <row r="67" spans="4:4" x14ac:dyDescent="0.25">
      <c r="D67" s="93"/>
    </row>
    <row r="68" spans="4:4" x14ac:dyDescent="0.25">
      <c r="D68" s="93"/>
    </row>
    <row r="69" spans="4:4" x14ac:dyDescent="0.25">
      <c r="D69" s="93"/>
    </row>
    <row r="70" spans="4:4" x14ac:dyDescent="0.25">
      <c r="D70" s="93"/>
    </row>
    <row r="71" spans="4:4" x14ac:dyDescent="0.25">
      <c r="D71" s="93"/>
    </row>
    <row r="72" spans="4:4" x14ac:dyDescent="0.25">
      <c r="D72" s="93"/>
    </row>
    <row r="73" spans="4:4" x14ac:dyDescent="0.25">
      <c r="D73" s="93"/>
    </row>
    <row r="74" spans="4:4" x14ac:dyDescent="0.25">
      <c r="D74" s="93"/>
    </row>
    <row r="75" spans="4:4" x14ac:dyDescent="0.25">
      <c r="D75" s="93"/>
    </row>
    <row r="76" spans="4:4" x14ac:dyDescent="0.25">
      <c r="D76" s="93"/>
    </row>
    <row r="77" spans="4:4" x14ac:dyDescent="0.25">
      <c r="D77" s="93"/>
    </row>
    <row r="78" spans="4:4" x14ac:dyDescent="0.25">
      <c r="D78" s="93"/>
    </row>
    <row r="79" spans="4:4" x14ac:dyDescent="0.25">
      <c r="D79" s="93"/>
    </row>
    <row r="80" spans="4:4" x14ac:dyDescent="0.25">
      <c r="D80" s="93"/>
    </row>
    <row r="81" spans="4:4" x14ac:dyDescent="0.25">
      <c r="D81" s="93"/>
    </row>
    <row r="82" spans="4:4" x14ac:dyDescent="0.25">
      <c r="D82" s="93"/>
    </row>
    <row r="83" spans="4:4" x14ac:dyDescent="0.25">
      <c r="D83" s="93"/>
    </row>
    <row r="84" spans="4:4" x14ac:dyDescent="0.25">
      <c r="D84" s="93"/>
    </row>
    <row r="85" spans="4:4" x14ac:dyDescent="0.25">
      <c r="D85" s="93"/>
    </row>
    <row r="86" spans="4:4" x14ac:dyDescent="0.25">
      <c r="D86" s="93"/>
    </row>
    <row r="87" spans="4:4" x14ac:dyDescent="0.25">
      <c r="D87" s="93"/>
    </row>
    <row r="88" spans="4:4" x14ac:dyDescent="0.25">
      <c r="D88" s="93"/>
    </row>
    <row r="89" spans="4:4" x14ac:dyDescent="0.25">
      <c r="D89" s="93"/>
    </row>
    <row r="90" spans="4:4" x14ac:dyDescent="0.25">
      <c r="D90" s="93"/>
    </row>
    <row r="91" spans="4:4" x14ac:dyDescent="0.25">
      <c r="D91" s="93"/>
    </row>
    <row r="92" spans="4:4" x14ac:dyDescent="0.25">
      <c r="D92" s="93"/>
    </row>
    <row r="93" spans="4:4" x14ac:dyDescent="0.25">
      <c r="D93" s="93"/>
    </row>
    <row r="94" spans="4:4" x14ac:dyDescent="0.25">
      <c r="D94" s="93"/>
    </row>
    <row r="95" spans="4:4" x14ac:dyDescent="0.25">
      <c r="D95" s="93"/>
    </row>
    <row r="96" spans="4:4" x14ac:dyDescent="0.25">
      <c r="D96" s="93"/>
    </row>
    <row r="97" spans="4:4" x14ac:dyDescent="0.25">
      <c r="D97" s="93"/>
    </row>
    <row r="98" spans="4:4" x14ac:dyDescent="0.25">
      <c r="D98" s="93"/>
    </row>
    <row r="99" spans="4:4" x14ac:dyDescent="0.25">
      <c r="D99" s="93"/>
    </row>
    <row r="100" spans="4:4" x14ac:dyDescent="0.25">
      <c r="D100" s="93"/>
    </row>
    <row r="101" spans="4:4" x14ac:dyDescent="0.25">
      <c r="D101" s="93"/>
    </row>
    <row r="102" spans="4:4" x14ac:dyDescent="0.25">
      <c r="D102" s="93"/>
    </row>
    <row r="103" spans="4:4" x14ac:dyDescent="0.25">
      <c r="D103" s="93"/>
    </row>
    <row r="104" spans="4:4" x14ac:dyDescent="0.25">
      <c r="D104" s="93"/>
    </row>
    <row r="105" spans="4:4" x14ac:dyDescent="0.25">
      <c r="D105" s="93"/>
    </row>
    <row r="106" spans="4:4" x14ac:dyDescent="0.25">
      <c r="D106" s="93"/>
    </row>
    <row r="107" spans="4:4" x14ac:dyDescent="0.25">
      <c r="D107" s="93"/>
    </row>
    <row r="108" spans="4:4" x14ac:dyDescent="0.25">
      <c r="D108" s="93"/>
    </row>
    <row r="109" spans="4:4" x14ac:dyDescent="0.25">
      <c r="D109" s="93"/>
    </row>
    <row r="110" spans="4:4" x14ac:dyDescent="0.25">
      <c r="D110" s="93"/>
    </row>
    <row r="111" spans="4:4" x14ac:dyDescent="0.25">
      <c r="D111" s="93"/>
    </row>
    <row r="112" spans="4:4" x14ac:dyDescent="0.25">
      <c r="D112" s="93"/>
    </row>
    <row r="113" spans="4:4" x14ac:dyDescent="0.25">
      <c r="D113" s="93"/>
    </row>
    <row r="114" spans="4:4" x14ac:dyDescent="0.25">
      <c r="D114" s="93"/>
    </row>
    <row r="115" spans="4:4" x14ac:dyDescent="0.25">
      <c r="D115" s="93"/>
    </row>
    <row r="116" spans="4:4" x14ac:dyDescent="0.25">
      <c r="D116" s="93"/>
    </row>
    <row r="117" spans="4:4" x14ac:dyDescent="0.25">
      <c r="D117" s="93"/>
    </row>
    <row r="118" spans="4:4" x14ac:dyDescent="0.25">
      <c r="D118" s="93"/>
    </row>
    <row r="119" spans="4:4" x14ac:dyDescent="0.25">
      <c r="D119" s="93"/>
    </row>
    <row r="120" spans="4:4" x14ac:dyDescent="0.25">
      <c r="D120" s="93"/>
    </row>
    <row r="121" spans="4:4" x14ac:dyDescent="0.25">
      <c r="D121" s="93"/>
    </row>
    <row r="122" spans="4:4" x14ac:dyDescent="0.25">
      <c r="D122" s="93"/>
    </row>
    <row r="123" spans="4:4" x14ac:dyDescent="0.25">
      <c r="D123" s="93"/>
    </row>
    <row r="124" spans="4:4" x14ac:dyDescent="0.25">
      <c r="D124" s="93"/>
    </row>
    <row r="125" spans="4:4" x14ac:dyDescent="0.25">
      <c r="D125" s="93"/>
    </row>
    <row r="126" spans="4:4" x14ac:dyDescent="0.25">
      <c r="D126" s="93"/>
    </row>
    <row r="127" spans="4:4" x14ac:dyDescent="0.25">
      <c r="D127" s="93"/>
    </row>
    <row r="128" spans="4:4" x14ac:dyDescent="0.25">
      <c r="D128" s="93"/>
    </row>
    <row r="129" spans="4:4" x14ac:dyDescent="0.25">
      <c r="D129" s="93"/>
    </row>
    <row r="130" spans="4:4" x14ac:dyDescent="0.25">
      <c r="D130" s="93"/>
    </row>
    <row r="131" spans="4:4" x14ac:dyDescent="0.25">
      <c r="D131" s="93"/>
    </row>
    <row r="132" spans="4:4" x14ac:dyDescent="0.25">
      <c r="D132" s="93"/>
    </row>
    <row r="133" spans="4:4" x14ac:dyDescent="0.25">
      <c r="D133" s="93"/>
    </row>
    <row r="134" spans="4:4" x14ac:dyDescent="0.25">
      <c r="D134" s="93"/>
    </row>
    <row r="135" spans="4:4" x14ac:dyDescent="0.25">
      <c r="D135" s="93"/>
    </row>
    <row r="136" spans="4:4" x14ac:dyDescent="0.25">
      <c r="D136" s="93"/>
    </row>
    <row r="137" spans="4:4" x14ac:dyDescent="0.25">
      <c r="D137" s="93"/>
    </row>
    <row r="138" spans="4:4" x14ac:dyDescent="0.25">
      <c r="D138" s="93"/>
    </row>
    <row r="139" spans="4:4" x14ac:dyDescent="0.25">
      <c r="D139" s="93"/>
    </row>
    <row r="140" spans="4:4" x14ac:dyDescent="0.25">
      <c r="D140" s="93"/>
    </row>
    <row r="141" spans="4:4" x14ac:dyDescent="0.25">
      <c r="D141" s="93"/>
    </row>
    <row r="142" spans="4:4" x14ac:dyDescent="0.25">
      <c r="D142" s="93"/>
    </row>
    <row r="143" spans="4:4" x14ac:dyDescent="0.25">
      <c r="D143" s="93"/>
    </row>
    <row r="144" spans="4:4" x14ac:dyDescent="0.25">
      <c r="D144" s="93"/>
    </row>
    <row r="145" spans="4:4" x14ac:dyDescent="0.25">
      <c r="D145" s="93"/>
    </row>
    <row r="146" spans="4:4" x14ac:dyDescent="0.25">
      <c r="D146" s="93"/>
    </row>
    <row r="147" spans="4:4" x14ac:dyDescent="0.25">
      <c r="D147" s="93"/>
    </row>
    <row r="148" spans="4:4" x14ac:dyDescent="0.25">
      <c r="D148" s="93"/>
    </row>
    <row r="149" spans="4:4" x14ac:dyDescent="0.25">
      <c r="D149" s="93"/>
    </row>
    <row r="150" spans="4:4" x14ac:dyDescent="0.25">
      <c r="D150" s="93"/>
    </row>
    <row r="151" spans="4:4" x14ac:dyDescent="0.25">
      <c r="D151" s="93"/>
    </row>
    <row r="152" spans="4:4" x14ac:dyDescent="0.25">
      <c r="D152" s="93"/>
    </row>
    <row r="153" spans="4:4" x14ac:dyDescent="0.25">
      <c r="D153" s="93"/>
    </row>
    <row r="154" spans="4:4" x14ac:dyDescent="0.25">
      <c r="D154" s="93"/>
    </row>
    <row r="155" spans="4:4" x14ac:dyDescent="0.25">
      <c r="D155" s="93"/>
    </row>
    <row r="156" spans="4:4" x14ac:dyDescent="0.25">
      <c r="D156" s="93"/>
    </row>
    <row r="157" spans="4:4" x14ac:dyDescent="0.25">
      <c r="D157" s="93"/>
    </row>
    <row r="158" spans="4:4" x14ac:dyDescent="0.25">
      <c r="D158" s="93"/>
    </row>
    <row r="159" spans="4:4" x14ac:dyDescent="0.25">
      <c r="D159" s="93"/>
    </row>
    <row r="160" spans="4:4" x14ac:dyDescent="0.25">
      <c r="D160" s="93"/>
    </row>
    <row r="161" spans="4:4" x14ac:dyDescent="0.25">
      <c r="D161" s="93"/>
    </row>
    <row r="162" spans="4:4" x14ac:dyDescent="0.25">
      <c r="D162" s="93"/>
    </row>
    <row r="163" spans="4:4" x14ac:dyDescent="0.25">
      <c r="D163" s="93"/>
    </row>
    <row r="164" spans="4:4" x14ac:dyDescent="0.25">
      <c r="D164" s="93"/>
    </row>
    <row r="165" spans="4:4" x14ac:dyDescent="0.25">
      <c r="D165" s="93"/>
    </row>
    <row r="166" spans="4:4" x14ac:dyDescent="0.25">
      <c r="D166" s="93"/>
    </row>
    <row r="167" spans="4:4" x14ac:dyDescent="0.25">
      <c r="D167" s="93"/>
    </row>
    <row r="168" spans="4:4" x14ac:dyDescent="0.25">
      <c r="D168" s="93"/>
    </row>
    <row r="169" spans="4:4" x14ac:dyDescent="0.25">
      <c r="D169" s="93"/>
    </row>
    <row r="170" spans="4:4" x14ac:dyDescent="0.25">
      <c r="D170" s="93"/>
    </row>
    <row r="171" spans="4:4" x14ac:dyDescent="0.25">
      <c r="D171" s="93"/>
    </row>
    <row r="172" spans="4:4" x14ac:dyDescent="0.25">
      <c r="D172" s="93"/>
    </row>
    <row r="173" spans="4:4" x14ac:dyDescent="0.25">
      <c r="D173" s="93"/>
    </row>
    <row r="174" spans="4:4" x14ac:dyDescent="0.25">
      <c r="D174" s="93"/>
    </row>
    <row r="175" spans="4:4" x14ac:dyDescent="0.25">
      <c r="D175" s="93"/>
    </row>
    <row r="176" spans="4:4" x14ac:dyDescent="0.25">
      <c r="D176" s="93"/>
    </row>
    <row r="177" spans="4:4" x14ac:dyDescent="0.25">
      <c r="D177" s="93"/>
    </row>
    <row r="178" spans="4:4" x14ac:dyDescent="0.25">
      <c r="D178" s="93"/>
    </row>
    <row r="179" spans="4:4" x14ac:dyDescent="0.25">
      <c r="D179" s="93"/>
    </row>
    <row r="180" spans="4:4" x14ac:dyDescent="0.25">
      <c r="D180" s="93"/>
    </row>
    <row r="181" spans="4:4" x14ac:dyDescent="0.25">
      <c r="D181" s="93"/>
    </row>
    <row r="182" spans="4:4" x14ac:dyDescent="0.25">
      <c r="D182" s="93"/>
    </row>
    <row r="183" spans="4:4" x14ac:dyDescent="0.25">
      <c r="D183" s="93"/>
    </row>
    <row r="184" spans="4:4" x14ac:dyDescent="0.25">
      <c r="D184" s="93"/>
    </row>
    <row r="185" spans="4:4" x14ac:dyDescent="0.25">
      <c r="D185" s="93"/>
    </row>
    <row r="186" spans="4:4" x14ac:dyDescent="0.25">
      <c r="D186" s="93"/>
    </row>
    <row r="187" spans="4:4" x14ac:dyDescent="0.25">
      <c r="D187" s="93"/>
    </row>
    <row r="188" spans="4:4" x14ac:dyDescent="0.25">
      <c r="D188" s="93"/>
    </row>
    <row r="189" spans="4:4" x14ac:dyDescent="0.25">
      <c r="D189" s="93"/>
    </row>
    <row r="190" spans="4:4" x14ac:dyDescent="0.25">
      <c r="D190" s="93"/>
    </row>
    <row r="191" spans="4:4" x14ac:dyDescent="0.25">
      <c r="D191" s="93"/>
    </row>
    <row r="192" spans="4:4" x14ac:dyDescent="0.25">
      <c r="D192" s="93"/>
    </row>
    <row r="193" spans="4:4" x14ac:dyDescent="0.25">
      <c r="D193" s="93"/>
    </row>
    <row r="194" spans="4:4" x14ac:dyDescent="0.25">
      <c r="D194" s="93"/>
    </row>
    <row r="195" spans="4:4" x14ac:dyDescent="0.25">
      <c r="D195" s="93"/>
    </row>
    <row r="196" spans="4:4" x14ac:dyDescent="0.25">
      <c r="D196" s="93"/>
    </row>
    <row r="197" spans="4:4" x14ac:dyDescent="0.25">
      <c r="D197" s="93"/>
    </row>
    <row r="198" spans="4:4" x14ac:dyDescent="0.25">
      <c r="D198" s="93"/>
    </row>
    <row r="199" spans="4:4" x14ac:dyDescent="0.25">
      <c r="D199" s="93"/>
    </row>
    <row r="200" spans="4:4" x14ac:dyDescent="0.25">
      <c r="D200" s="93"/>
    </row>
    <row r="201" spans="4:4" x14ac:dyDescent="0.25">
      <c r="D201" s="93"/>
    </row>
    <row r="202" spans="4:4" x14ac:dyDescent="0.25">
      <c r="D202" s="93"/>
    </row>
    <row r="203" spans="4:4" x14ac:dyDescent="0.25">
      <c r="D203" s="93"/>
    </row>
    <row r="204" spans="4:4" x14ac:dyDescent="0.25">
      <c r="D204" s="93"/>
    </row>
    <row r="205" spans="4:4" x14ac:dyDescent="0.25">
      <c r="D205" s="93"/>
    </row>
    <row r="206" spans="4:4" x14ac:dyDescent="0.25">
      <c r="D206" s="93"/>
    </row>
    <row r="207" spans="4:4" x14ac:dyDescent="0.25">
      <c r="D207" s="93"/>
    </row>
    <row r="208" spans="4:4" x14ac:dyDescent="0.25">
      <c r="D208" s="93"/>
    </row>
    <row r="209" spans="4:4" x14ac:dyDescent="0.25">
      <c r="D209" s="93"/>
    </row>
    <row r="210" spans="4:4" x14ac:dyDescent="0.25">
      <c r="D210" s="93"/>
    </row>
    <row r="211" spans="4:4" x14ac:dyDescent="0.25">
      <c r="D211" s="93"/>
    </row>
    <row r="212" spans="4:4" x14ac:dyDescent="0.25">
      <c r="D212" s="93"/>
    </row>
    <row r="213" spans="4:4" x14ac:dyDescent="0.25">
      <c r="D213" s="93"/>
    </row>
    <row r="214" spans="4:4" x14ac:dyDescent="0.25">
      <c r="D214" s="93"/>
    </row>
    <row r="215" spans="4:4" x14ac:dyDescent="0.25">
      <c r="D215" s="93"/>
    </row>
    <row r="216" spans="4:4" x14ac:dyDescent="0.25">
      <c r="D216" s="93"/>
    </row>
    <row r="217" spans="4:4" x14ac:dyDescent="0.25">
      <c r="D217" s="93"/>
    </row>
    <row r="218" spans="4:4" x14ac:dyDescent="0.25">
      <c r="D218" s="93"/>
    </row>
    <row r="219" spans="4:4" x14ac:dyDescent="0.25">
      <c r="D219" s="93"/>
    </row>
    <row r="220" spans="4:4" x14ac:dyDescent="0.25">
      <c r="D220" s="93"/>
    </row>
    <row r="221" spans="4:4" x14ac:dyDescent="0.25">
      <c r="D221" s="93"/>
    </row>
    <row r="222" spans="4:4" x14ac:dyDescent="0.25">
      <c r="D222" s="93"/>
    </row>
    <row r="223" spans="4:4" x14ac:dyDescent="0.25">
      <c r="D223" s="93"/>
    </row>
    <row r="224" spans="4:4" x14ac:dyDescent="0.25">
      <c r="D224" s="93"/>
    </row>
    <row r="225" spans="4:4" x14ac:dyDescent="0.25">
      <c r="D225" s="93"/>
    </row>
    <row r="226" spans="4:4" x14ac:dyDescent="0.25">
      <c r="D226" s="93"/>
    </row>
    <row r="227" spans="4:4" x14ac:dyDescent="0.25">
      <c r="D227" s="93"/>
    </row>
    <row r="228" spans="4:4" x14ac:dyDescent="0.25">
      <c r="D228" s="93"/>
    </row>
    <row r="229" spans="4:4" x14ac:dyDescent="0.25">
      <c r="D229" s="93"/>
    </row>
    <row r="230" spans="4:4" x14ac:dyDescent="0.25">
      <c r="D230" s="93"/>
    </row>
    <row r="231" spans="4:4" x14ac:dyDescent="0.25">
      <c r="D231" s="93"/>
    </row>
    <row r="232" spans="4:4" x14ac:dyDescent="0.25">
      <c r="D232" s="93"/>
    </row>
    <row r="233" spans="4:4" x14ac:dyDescent="0.25">
      <c r="D233" s="93"/>
    </row>
    <row r="234" spans="4:4" x14ac:dyDescent="0.25">
      <c r="D234" s="93"/>
    </row>
    <row r="235" spans="4:4" x14ac:dyDescent="0.25">
      <c r="D235" s="93"/>
    </row>
    <row r="236" spans="4:4" x14ac:dyDescent="0.25">
      <c r="D236" s="93"/>
    </row>
    <row r="237" spans="4:4" x14ac:dyDescent="0.25">
      <c r="D237" s="93"/>
    </row>
    <row r="238" spans="4:4" x14ac:dyDescent="0.25">
      <c r="D238" s="93"/>
    </row>
    <row r="239" spans="4:4" x14ac:dyDescent="0.25">
      <c r="D239" s="93"/>
    </row>
    <row r="240" spans="4:4" x14ac:dyDescent="0.25">
      <c r="D240" s="93"/>
    </row>
    <row r="241" spans="4:4" x14ac:dyDescent="0.25">
      <c r="D241" s="93"/>
    </row>
    <row r="242" spans="4:4" x14ac:dyDescent="0.25">
      <c r="D242" s="93"/>
    </row>
    <row r="243" spans="4:4" x14ac:dyDescent="0.25">
      <c r="D243" s="93"/>
    </row>
    <row r="244" spans="4:4" x14ac:dyDescent="0.25">
      <c r="D244" s="93"/>
    </row>
    <row r="245" spans="4:4" x14ac:dyDescent="0.25">
      <c r="D245" s="93"/>
    </row>
    <row r="246" spans="4:4" x14ac:dyDescent="0.25">
      <c r="D246" s="93"/>
    </row>
    <row r="247" spans="4:4" x14ac:dyDescent="0.25">
      <c r="D247" s="93"/>
    </row>
    <row r="248" spans="4:4" x14ac:dyDescent="0.25">
      <c r="D248" s="93"/>
    </row>
    <row r="249" spans="4:4" x14ac:dyDescent="0.25">
      <c r="D249" s="93"/>
    </row>
    <row r="250" spans="4:4" x14ac:dyDescent="0.25">
      <c r="D250" s="93"/>
    </row>
    <row r="251" spans="4:4" x14ac:dyDescent="0.25">
      <c r="D251" s="93"/>
    </row>
    <row r="252" spans="4:4" x14ac:dyDescent="0.25">
      <c r="D252" s="93"/>
    </row>
    <row r="253" spans="4:4" x14ac:dyDescent="0.25">
      <c r="D253" s="93"/>
    </row>
    <row r="254" spans="4:4" x14ac:dyDescent="0.25">
      <c r="D254" s="93"/>
    </row>
    <row r="255" spans="4:4" x14ac:dyDescent="0.25">
      <c r="D255" s="93"/>
    </row>
    <row r="256" spans="4:4" x14ac:dyDescent="0.25">
      <c r="D256" s="93"/>
    </row>
    <row r="257" spans="4:4" x14ac:dyDescent="0.25">
      <c r="D257" s="93"/>
    </row>
    <row r="258" spans="4:4" x14ac:dyDescent="0.25">
      <c r="D258" s="93"/>
    </row>
    <row r="259" spans="4:4" x14ac:dyDescent="0.25">
      <c r="D259" s="93"/>
    </row>
    <row r="260" spans="4:4" x14ac:dyDescent="0.25">
      <c r="D260" s="93"/>
    </row>
    <row r="261" spans="4:4" x14ac:dyDescent="0.25">
      <c r="D261" s="93"/>
    </row>
    <row r="262" spans="4:4" x14ac:dyDescent="0.25">
      <c r="D262" s="93"/>
    </row>
    <row r="263" spans="4:4" x14ac:dyDescent="0.25">
      <c r="D263" s="93"/>
    </row>
    <row r="264" spans="4:4" x14ac:dyDescent="0.25">
      <c r="D264" s="93"/>
    </row>
    <row r="265" spans="4:4" x14ac:dyDescent="0.25">
      <c r="D265" s="93"/>
    </row>
    <row r="266" spans="4:4" x14ac:dyDescent="0.25">
      <c r="D266" s="93"/>
    </row>
    <row r="267" spans="4:4" x14ac:dyDescent="0.25">
      <c r="D267" s="93"/>
    </row>
    <row r="268" spans="4:4" x14ac:dyDescent="0.25">
      <c r="D268" s="93"/>
    </row>
    <row r="269" spans="4:4" x14ac:dyDescent="0.25">
      <c r="D269" s="93"/>
    </row>
    <row r="270" spans="4:4" x14ac:dyDescent="0.25">
      <c r="D270" s="93"/>
    </row>
    <row r="271" spans="4:4" x14ac:dyDescent="0.25">
      <c r="D271" s="93"/>
    </row>
    <row r="272" spans="4:4" x14ac:dyDescent="0.25">
      <c r="D272" s="93"/>
    </row>
    <row r="273" spans="4:4" x14ac:dyDescent="0.25">
      <c r="D273" s="93"/>
    </row>
    <row r="274" spans="4:4" x14ac:dyDescent="0.25">
      <c r="D274" s="93"/>
    </row>
    <row r="275" spans="4:4" x14ac:dyDescent="0.25">
      <c r="D275" s="93"/>
    </row>
    <row r="276" spans="4:4" x14ac:dyDescent="0.25">
      <c r="D276" s="93"/>
    </row>
    <row r="277" spans="4:4" x14ac:dyDescent="0.25">
      <c r="D277" s="93"/>
    </row>
    <row r="278" spans="4:4" x14ac:dyDescent="0.25">
      <c r="D278" s="93"/>
    </row>
    <row r="279" spans="4:4" x14ac:dyDescent="0.25">
      <c r="D279" s="93"/>
    </row>
    <row r="280" spans="4:4" x14ac:dyDescent="0.25">
      <c r="D280" s="93"/>
    </row>
    <row r="281" spans="4:4" x14ac:dyDescent="0.25">
      <c r="D281" s="93"/>
    </row>
    <row r="282" spans="4:4" x14ac:dyDescent="0.25">
      <c r="D282" s="93"/>
    </row>
    <row r="283" spans="4:4" x14ac:dyDescent="0.25">
      <c r="D283" s="93"/>
    </row>
    <row r="284" spans="4:4" x14ac:dyDescent="0.25">
      <c r="D284" s="93"/>
    </row>
    <row r="285" spans="4:4" x14ac:dyDescent="0.25">
      <c r="D285" s="93"/>
    </row>
    <row r="286" spans="4:4" x14ac:dyDescent="0.25">
      <c r="D286" s="93"/>
    </row>
    <row r="287" spans="4:4" x14ac:dyDescent="0.25">
      <c r="D287" s="93"/>
    </row>
    <row r="288" spans="4:4" x14ac:dyDescent="0.25">
      <c r="D288" s="93"/>
    </row>
    <row r="289" spans="4:4" x14ac:dyDescent="0.25">
      <c r="D289" s="93"/>
    </row>
    <row r="290" spans="4:4" x14ac:dyDescent="0.25">
      <c r="D290" s="93"/>
    </row>
    <row r="291" spans="4:4" x14ac:dyDescent="0.25">
      <c r="D291" s="93"/>
    </row>
    <row r="292" spans="4:4" x14ac:dyDescent="0.25">
      <c r="D292" s="93"/>
    </row>
    <row r="293" spans="4:4" x14ac:dyDescent="0.25">
      <c r="D293" s="93"/>
    </row>
    <row r="294" spans="4:4" x14ac:dyDescent="0.25">
      <c r="D294" s="93"/>
    </row>
  </sheetData>
  <sheetProtection algorithmName="SHA-512" hashValue="EE0rqIFdWuAB378Fnp1tZzNrf6ScXc/2nembKTZlZptRS6WdjlsEhgCR1Tz7BfhjNGzv7nZWMuIFKRnaoTL0fQ==" saltValue="CIA5yxMhJY7c6nSovVHAkQ==" spinCount="100000"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AA091-6F98-49AD-A4DD-2C5449726F41}">
  <sheetPr codeName="Sheet15"/>
  <dimension ref="A1:N22"/>
  <sheetViews>
    <sheetView workbookViewId="0">
      <selection activeCell="H14" sqref="H14"/>
    </sheetView>
  </sheetViews>
  <sheetFormatPr defaultRowHeight="15" x14ac:dyDescent="0.25"/>
  <cols>
    <col min="1" max="1" width="38.85546875" customWidth="1"/>
    <col min="2" max="2" width="15.28515625" customWidth="1"/>
    <col min="4" max="4" width="11.42578125" customWidth="1"/>
    <col min="8" max="9" width="33" customWidth="1"/>
  </cols>
  <sheetData>
    <row r="1" spans="1:14" ht="43.15" customHeight="1" x14ac:dyDescent="0.25">
      <c r="A1" s="87" t="s">
        <v>176</v>
      </c>
      <c r="D1" t="s">
        <v>184</v>
      </c>
      <c r="G1" t="s">
        <v>171</v>
      </c>
      <c r="H1" s="91" t="s">
        <v>236</v>
      </c>
    </row>
    <row r="2" spans="1:14" ht="130.9" customHeight="1" x14ac:dyDescent="0.25">
      <c r="A2" s="158" t="s">
        <v>497</v>
      </c>
      <c r="B2" s="159"/>
      <c r="C2" s="159"/>
      <c r="D2" s="159"/>
    </row>
    <row r="3" spans="1:14" ht="15.75" x14ac:dyDescent="0.25">
      <c r="A3" s="89" t="s">
        <v>168</v>
      </c>
      <c r="F3" t="s">
        <v>170</v>
      </c>
      <c r="N3" s="144" t="s">
        <v>625</v>
      </c>
    </row>
    <row r="4" spans="1:14" x14ac:dyDescent="0.25">
      <c r="N4" s="144" t="s">
        <v>542</v>
      </c>
    </row>
    <row r="5" spans="1:14" x14ac:dyDescent="0.25">
      <c r="A5" s="86" t="s">
        <v>212</v>
      </c>
      <c r="B5" s="86" t="s">
        <v>550</v>
      </c>
      <c r="C5" s="86" t="s">
        <v>565</v>
      </c>
      <c r="D5" t="s">
        <v>566</v>
      </c>
      <c r="E5" t="s">
        <v>551</v>
      </c>
      <c r="N5" s="144" t="s">
        <v>619</v>
      </c>
    </row>
    <row r="6" spans="1:14" x14ac:dyDescent="0.25">
      <c r="A6" s="86" t="s">
        <v>217</v>
      </c>
      <c r="B6" s="86" t="s">
        <v>218</v>
      </c>
      <c r="C6" s="86" t="s">
        <v>241</v>
      </c>
      <c r="D6" t="s">
        <v>251</v>
      </c>
      <c r="E6" t="s">
        <v>219</v>
      </c>
      <c r="N6" s="144" t="s">
        <v>620</v>
      </c>
    </row>
    <row r="7" spans="1:14" x14ac:dyDescent="0.25">
      <c r="A7" t="s">
        <v>252</v>
      </c>
      <c r="B7" t="s">
        <v>253</v>
      </c>
      <c r="C7" t="s">
        <v>241</v>
      </c>
      <c r="D7" t="s">
        <v>254</v>
      </c>
      <c r="E7" t="s">
        <v>219</v>
      </c>
      <c r="N7" s="144" t="s">
        <v>621</v>
      </c>
    </row>
    <row r="8" spans="1:14" x14ac:dyDescent="0.25">
      <c r="A8" t="s">
        <v>220</v>
      </c>
      <c r="B8" t="s">
        <v>221</v>
      </c>
      <c r="C8" t="s">
        <v>241</v>
      </c>
      <c r="D8" t="s">
        <v>254</v>
      </c>
      <c r="E8" t="s">
        <v>219</v>
      </c>
      <c r="N8" s="144" t="s">
        <v>622</v>
      </c>
    </row>
    <row r="9" spans="1:14" x14ac:dyDescent="0.25">
      <c r="A9" t="s">
        <v>224</v>
      </c>
      <c r="B9" t="s">
        <v>225</v>
      </c>
      <c r="C9" t="s">
        <v>241</v>
      </c>
      <c r="D9" t="s">
        <v>258</v>
      </c>
      <c r="E9" t="s">
        <v>219</v>
      </c>
      <c r="N9" s="144" t="s">
        <v>562</v>
      </c>
    </row>
    <row r="10" spans="1:14" x14ac:dyDescent="0.25">
      <c r="A10" t="s">
        <v>246</v>
      </c>
      <c r="B10" t="s">
        <v>247</v>
      </c>
      <c r="C10" t="s">
        <v>241</v>
      </c>
      <c r="D10" t="s">
        <v>248</v>
      </c>
      <c r="E10" t="s">
        <v>219</v>
      </c>
    </row>
    <row r="11" spans="1:14" x14ac:dyDescent="0.25">
      <c r="A11" t="s">
        <v>228</v>
      </c>
      <c r="B11" t="s">
        <v>229</v>
      </c>
      <c r="C11" t="s">
        <v>241</v>
      </c>
      <c r="D11" t="s">
        <v>245</v>
      </c>
      <c r="E11" t="s">
        <v>219</v>
      </c>
    </row>
    <row r="12" spans="1:14" x14ac:dyDescent="0.25">
      <c r="A12" t="s">
        <v>628</v>
      </c>
      <c r="B12" t="s">
        <v>559</v>
      </c>
      <c r="C12" t="s">
        <v>261</v>
      </c>
      <c r="D12" t="s">
        <v>242</v>
      </c>
      <c r="E12" t="s">
        <v>175</v>
      </c>
    </row>
    <row r="13" spans="1:14" x14ac:dyDescent="0.25">
      <c r="A13" t="s">
        <v>262</v>
      </c>
      <c r="B13" t="s">
        <v>218</v>
      </c>
      <c r="C13" t="s">
        <v>241</v>
      </c>
      <c r="D13" t="s">
        <v>248</v>
      </c>
      <c r="E13" t="s">
        <v>219</v>
      </c>
    </row>
    <row r="14" spans="1:14" x14ac:dyDescent="0.25">
      <c r="A14" t="s">
        <v>255</v>
      </c>
      <c r="B14" t="s">
        <v>253</v>
      </c>
      <c r="C14" t="s">
        <v>241</v>
      </c>
      <c r="D14" t="s">
        <v>256</v>
      </c>
      <c r="E14" t="s">
        <v>219</v>
      </c>
    </row>
    <row r="15" spans="1:14" x14ac:dyDescent="0.25">
      <c r="A15" t="s">
        <v>230</v>
      </c>
      <c r="B15" t="s">
        <v>231</v>
      </c>
      <c r="C15" t="s">
        <v>241</v>
      </c>
      <c r="D15" t="s">
        <v>245</v>
      </c>
      <c r="E15" t="s">
        <v>219</v>
      </c>
    </row>
    <row r="16" spans="1:14" x14ac:dyDescent="0.25">
      <c r="A16" t="s">
        <v>629</v>
      </c>
      <c r="B16" t="s">
        <v>221</v>
      </c>
      <c r="C16" t="s">
        <v>259</v>
      </c>
      <c r="D16" t="s">
        <v>242</v>
      </c>
      <c r="E16" t="s">
        <v>175</v>
      </c>
    </row>
    <row r="17" spans="1:5" x14ac:dyDescent="0.25">
      <c r="A17" t="s">
        <v>180</v>
      </c>
      <c r="B17" t="s">
        <v>257</v>
      </c>
      <c r="C17" t="s">
        <v>241</v>
      </c>
      <c r="D17" t="s">
        <v>258</v>
      </c>
      <c r="E17" t="s">
        <v>219</v>
      </c>
    </row>
    <row r="18" spans="1:5" x14ac:dyDescent="0.25">
      <c r="A18" t="s">
        <v>243</v>
      </c>
      <c r="B18" t="s">
        <v>244</v>
      </c>
      <c r="C18" t="s">
        <v>241</v>
      </c>
      <c r="D18" t="s">
        <v>245</v>
      </c>
      <c r="E18" t="s">
        <v>219</v>
      </c>
    </row>
    <row r="19" spans="1:5" x14ac:dyDescent="0.25">
      <c r="A19" t="s">
        <v>630</v>
      </c>
      <c r="B19" t="s">
        <v>631</v>
      </c>
      <c r="C19" t="s">
        <v>241</v>
      </c>
      <c r="D19" t="s">
        <v>251</v>
      </c>
      <c r="E19" t="s">
        <v>175</v>
      </c>
    </row>
    <row r="20" spans="1:5" x14ac:dyDescent="0.25">
      <c r="A20" t="s">
        <v>239</v>
      </c>
      <c r="B20" t="s">
        <v>240</v>
      </c>
      <c r="C20" t="s">
        <v>241</v>
      </c>
      <c r="D20" t="s">
        <v>242</v>
      </c>
      <c r="E20" t="s">
        <v>219</v>
      </c>
    </row>
    <row r="21" spans="1:5" x14ac:dyDescent="0.25">
      <c r="A21" t="s">
        <v>632</v>
      </c>
      <c r="B21" t="s">
        <v>633</v>
      </c>
      <c r="C21" t="s">
        <v>260</v>
      </c>
      <c r="D21" t="s">
        <v>258</v>
      </c>
      <c r="E21" t="s">
        <v>175</v>
      </c>
    </row>
    <row r="22" spans="1:5" x14ac:dyDescent="0.25">
      <c r="A22" t="s">
        <v>249</v>
      </c>
      <c r="B22" t="s">
        <v>250</v>
      </c>
      <c r="C22" t="s">
        <v>241</v>
      </c>
      <c r="D22" t="s">
        <v>242</v>
      </c>
      <c r="E22" t="s">
        <v>219</v>
      </c>
    </row>
  </sheetData>
  <sheetProtection algorithmName="SHA-512" hashValue="xiL7vBsokXQjCTN4TPv13Q3nIsMD5MFmR21kFRW7mETF0i0K5SS7OjFC5K6CFISrXrogLlCw4miQJMIzse9bOQ==" saltValue="5WdgucMk16j954x1VA3Kkg==" spinCount="100000" sheet="1" objects="1" scenarios="1"/>
  <mergeCells count="1">
    <mergeCell ref="A2:D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67C1-D2B3-4BED-AFCC-585C17D43B76}">
  <sheetPr codeName="Sheet16"/>
  <dimension ref="A1:I17"/>
  <sheetViews>
    <sheetView workbookViewId="0">
      <selection activeCell="A3" sqref="A3"/>
    </sheetView>
  </sheetViews>
  <sheetFormatPr defaultRowHeight="15" x14ac:dyDescent="0.25"/>
  <cols>
    <col min="1" max="1" width="15.140625" customWidth="1"/>
    <col min="2" max="2" width="10" customWidth="1"/>
    <col min="3" max="3" width="19.85546875" customWidth="1"/>
    <col min="5" max="5" width="30.28515625" customWidth="1"/>
  </cols>
  <sheetData>
    <row r="1" spans="1:9" x14ac:dyDescent="0.25">
      <c r="A1" t="s">
        <v>176</v>
      </c>
      <c r="C1">
        <v>10</v>
      </c>
      <c r="F1" s="90" t="s">
        <v>491</v>
      </c>
    </row>
    <row r="2" spans="1:9" x14ac:dyDescent="0.25">
      <c r="A2" cm="1">
        <f t="array" ref="A2">gradeGenericQuestionRange("Text", A4:E17,C1,Question5!A5:E18)</f>
        <v>3.8571422100067139</v>
      </c>
      <c r="E2" s="90"/>
      <c r="F2" s="90" t="s">
        <v>492</v>
      </c>
    </row>
    <row r="3" spans="1:9" x14ac:dyDescent="0.25">
      <c r="E3" s="90"/>
      <c r="F3" s="90" t="s">
        <v>493</v>
      </c>
    </row>
    <row r="4" spans="1:9" x14ac:dyDescent="0.25">
      <c r="A4" t="s">
        <v>212</v>
      </c>
      <c r="B4" t="s">
        <v>213</v>
      </c>
      <c r="C4" t="s">
        <v>237</v>
      </c>
      <c r="D4" t="s">
        <v>238</v>
      </c>
      <c r="E4" s="90" t="s">
        <v>214</v>
      </c>
      <c r="F4" s="94" t="s">
        <v>494</v>
      </c>
    </row>
    <row r="5" spans="1:9" x14ac:dyDescent="0.25">
      <c r="A5" t="s">
        <v>239</v>
      </c>
      <c r="B5" t="s">
        <v>240</v>
      </c>
      <c r="C5" t="s">
        <v>241</v>
      </c>
      <c r="D5" t="s">
        <v>242</v>
      </c>
      <c r="E5" t="s">
        <v>219</v>
      </c>
      <c r="F5" s="90" t="s">
        <v>495</v>
      </c>
    </row>
    <row r="6" spans="1:9" x14ac:dyDescent="0.25">
      <c r="A6" t="s">
        <v>243</v>
      </c>
      <c r="B6" t="s">
        <v>244</v>
      </c>
      <c r="C6" t="s">
        <v>241</v>
      </c>
      <c r="D6" t="s">
        <v>245</v>
      </c>
      <c r="E6" t="s">
        <v>219</v>
      </c>
      <c r="F6" s="90" t="s">
        <v>490</v>
      </c>
    </row>
    <row r="7" spans="1:9" x14ac:dyDescent="0.25">
      <c r="A7" t="s">
        <v>246</v>
      </c>
      <c r="B7" t="s">
        <v>247</v>
      </c>
      <c r="C7" t="s">
        <v>241</v>
      </c>
      <c r="D7" t="s">
        <v>248</v>
      </c>
      <c r="E7" t="s">
        <v>219</v>
      </c>
      <c r="F7" s="90" t="s">
        <v>496</v>
      </c>
    </row>
    <row r="8" spans="1:9" x14ac:dyDescent="0.25">
      <c r="A8" t="s">
        <v>249</v>
      </c>
      <c r="B8" t="s">
        <v>250</v>
      </c>
      <c r="C8" t="s">
        <v>241</v>
      </c>
      <c r="D8" t="s">
        <v>242</v>
      </c>
      <c r="E8" t="s">
        <v>219</v>
      </c>
    </row>
    <row r="9" spans="1:9" x14ac:dyDescent="0.25">
      <c r="A9" t="s">
        <v>228</v>
      </c>
      <c r="B9" t="s">
        <v>229</v>
      </c>
      <c r="C9" t="s">
        <v>241</v>
      </c>
      <c r="D9" t="s">
        <v>245</v>
      </c>
      <c r="E9" t="s">
        <v>219</v>
      </c>
    </row>
    <row r="10" spans="1:9" x14ac:dyDescent="0.25">
      <c r="A10" t="s">
        <v>252</v>
      </c>
      <c r="B10" t="s">
        <v>253</v>
      </c>
      <c r="C10" t="s">
        <v>241</v>
      </c>
      <c r="D10" t="s">
        <v>254</v>
      </c>
      <c r="E10" t="s">
        <v>219</v>
      </c>
    </row>
    <row r="11" spans="1:9" x14ac:dyDescent="0.25">
      <c r="A11" t="s">
        <v>255</v>
      </c>
      <c r="B11" t="s">
        <v>253</v>
      </c>
      <c r="C11" t="s">
        <v>241</v>
      </c>
      <c r="D11" t="s">
        <v>256</v>
      </c>
      <c r="E11" t="s">
        <v>219</v>
      </c>
    </row>
    <row r="12" spans="1:9" x14ac:dyDescent="0.25">
      <c r="A12" t="s">
        <v>180</v>
      </c>
      <c r="B12" t="s">
        <v>257</v>
      </c>
      <c r="C12" t="s">
        <v>241</v>
      </c>
      <c r="D12" t="s">
        <v>258</v>
      </c>
      <c r="E12" t="s">
        <v>219</v>
      </c>
    </row>
    <row r="13" spans="1:9" x14ac:dyDescent="0.25">
      <c r="A13" t="s">
        <v>230</v>
      </c>
      <c r="B13" t="s">
        <v>231</v>
      </c>
      <c r="C13" t="s">
        <v>241</v>
      </c>
      <c r="D13" t="s">
        <v>245</v>
      </c>
      <c r="E13" t="s">
        <v>219</v>
      </c>
    </row>
    <row r="14" spans="1:9" x14ac:dyDescent="0.25">
      <c r="A14" t="s">
        <v>220</v>
      </c>
      <c r="B14" t="s">
        <v>221</v>
      </c>
      <c r="C14" t="s">
        <v>241</v>
      </c>
      <c r="D14" t="s">
        <v>254</v>
      </c>
      <c r="E14" t="s">
        <v>219</v>
      </c>
      <c r="H14" t="s">
        <v>489</v>
      </c>
      <c r="I14" s="90" t="s">
        <v>490</v>
      </c>
    </row>
    <row r="15" spans="1:9" x14ac:dyDescent="0.25">
      <c r="A15" t="s">
        <v>262</v>
      </c>
      <c r="B15" t="s">
        <v>218</v>
      </c>
      <c r="C15" t="s">
        <v>241</v>
      </c>
      <c r="D15" t="s">
        <v>248</v>
      </c>
      <c r="E15" t="s">
        <v>219</v>
      </c>
    </row>
    <row r="16" spans="1:9" x14ac:dyDescent="0.25">
      <c r="A16" t="s">
        <v>217</v>
      </c>
      <c r="B16" t="s">
        <v>218</v>
      </c>
      <c r="C16" t="s">
        <v>241</v>
      </c>
      <c r="D16" t="s">
        <v>251</v>
      </c>
      <c r="E16" t="s">
        <v>219</v>
      </c>
    </row>
    <row r="17" spans="1:5" x14ac:dyDescent="0.25">
      <c r="A17" t="s">
        <v>224</v>
      </c>
      <c r="B17" t="s">
        <v>225</v>
      </c>
      <c r="C17" t="s">
        <v>241</v>
      </c>
      <c r="D17" t="s">
        <v>258</v>
      </c>
      <c r="E17" t="s">
        <v>219</v>
      </c>
    </row>
  </sheetData>
  <sheetProtection algorithmName="SHA-512" hashValue="uH5BCfecixXjd2QhPU9KijABZIjnm+NMQzMFSJzrreX8izdhQo5uUnrmqNDl20Ujgdl6VpZrkgL7cVCh5TLSsw==" saltValue="zkYT42rv6aaai8k+Asa4ig==" spinCount="100000" sheet="1" objects="1" scenarios="1"/>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64E8-A2D5-4F8F-9C55-D70D0C21D0DB}">
  <sheetPr codeName="Sheet18"/>
  <dimension ref="A1:N58"/>
  <sheetViews>
    <sheetView workbookViewId="0">
      <selection activeCell="G15" sqref="G15"/>
    </sheetView>
  </sheetViews>
  <sheetFormatPr defaultRowHeight="15" x14ac:dyDescent="0.25"/>
  <cols>
    <col min="1" max="1" width="38.85546875" customWidth="1"/>
    <col min="3" max="3" width="10.28515625" bestFit="1" customWidth="1"/>
    <col min="4" max="4" width="11.42578125" customWidth="1"/>
    <col min="8" max="9" width="33" customWidth="1"/>
  </cols>
  <sheetData>
    <row r="1" spans="1:14" ht="30" x14ac:dyDescent="0.25">
      <c r="A1" s="87" t="s">
        <v>177</v>
      </c>
      <c r="D1" t="s">
        <v>184</v>
      </c>
      <c r="G1" t="s">
        <v>171</v>
      </c>
      <c r="H1" s="91" t="s">
        <v>326</v>
      </c>
    </row>
    <row r="2" spans="1:14" ht="130.9" customHeight="1" x14ac:dyDescent="0.25">
      <c r="A2" s="158" t="s">
        <v>420</v>
      </c>
      <c r="B2" s="159"/>
      <c r="C2" s="159"/>
      <c r="D2" s="159"/>
      <c r="H2" s="120"/>
    </row>
    <row r="3" spans="1:14" ht="15.75" x14ac:dyDescent="0.25">
      <c r="A3" s="89" t="s">
        <v>168</v>
      </c>
      <c r="F3" t="s">
        <v>170</v>
      </c>
      <c r="N3" s="144" t="s">
        <v>573</v>
      </c>
    </row>
    <row r="4" spans="1:14" x14ac:dyDescent="0.25">
      <c r="N4" s="144" t="s">
        <v>574</v>
      </c>
    </row>
    <row r="5" spans="1:14" x14ac:dyDescent="0.25">
      <c r="A5" s="86" t="s">
        <v>581</v>
      </c>
      <c r="B5" s="86" t="s">
        <v>263</v>
      </c>
      <c r="C5" s="86" t="s">
        <v>582</v>
      </c>
      <c r="D5" t="s">
        <v>583</v>
      </c>
      <c r="N5" s="144" t="s">
        <v>575</v>
      </c>
    </row>
    <row r="6" spans="1:14" x14ac:dyDescent="0.25">
      <c r="A6" s="86" t="s">
        <v>266</v>
      </c>
      <c r="B6" s="86" t="s">
        <v>267</v>
      </c>
      <c r="C6" s="104" t="s">
        <v>268</v>
      </c>
      <c r="D6" s="93" t="s">
        <v>584</v>
      </c>
      <c r="N6" s="144" t="s">
        <v>576</v>
      </c>
    </row>
    <row r="7" spans="1:14" x14ac:dyDescent="0.25">
      <c r="A7" t="s">
        <v>269</v>
      </c>
      <c r="B7" t="s">
        <v>267</v>
      </c>
      <c r="C7" s="93" t="s">
        <v>268</v>
      </c>
      <c r="D7" s="93" t="s">
        <v>584</v>
      </c>
      <c r="N7" s="144" t="s">
        <v>577</v>
      </c>
    </row>
    <row r="8" spans="1:14" x14ac:dyDescent="0.25">
      <c r="A8" t="s">
        <v>585</v>
      </c>
      <c r="B8" t="s">
        <v>586</v>
      </c>
      <c r="C8" s="93" t="s">
        <v>268</v>
      </c>
      <c r="D8" s="93" t="s">
        <v>272</v>
      </c>
      <c r="N8" s="144" t="s">
        <v>578</v>
      </c>
    </row>
    <row r="9" spans="1:14" x14ac:dyDescent="0.25">
      <c r="A9" t="s">
        <v>270</v>
      </c>
      <c r="B9" t="s">
        <v>271</v>
      </c>
      <c r="C9" s="93" t="s">
        <v>268</v>
      </c>
      <c r="D9" s="93" t="s">
        <v>272</v>
      </c>
    </row>
    <row r="10" spans="1:14" x14ac:dyDescent="0.25">
      <c r="A10" t="s">
        <v>273</v>
      </c>
      <c r="B10" t="s">
        <v>271</v>
      </c>
      <c r="C10" t="s">
        <v>268</v>
      </c>
      <c r="D10" t="s">
        <v>584</v>
      </c>
    </row>
    <row r="11" spans="1:14" x14ac:dyDescent="0.25">
      <c r="A11" t="s">
        <v>274</v>
      </c>
      <c r="B11" t="s">
        <v>275</v>
      </c>
      <c r="C11" t="s">
        <v>268</v>
      </c>
      <c r="D11" t="s">
        <v>272</v>
      </c>
    </row>
    <row r="12" spans="1:14" x14ac:dyDescent="0.25">
      <c r="A12" t="s">
        <v>276</v>
      </c>
      <c r="B12" t="s">
        <v>275</v>
      </c>
      <c r="C12" t="s">
        <v>268</v>
      </c>
      <c r="D12" t="s">
        <v>584</v>
      </c>
    </row>
    <row r="13" spans="1:14" x14ac:dyDescent="0.25">
      <c r="A13" t="s">
        <v>587</v>
      </c>
      <c r="B13" t="s">
        <v>588</v>
      </c>
      <c r="C13" t="s">
        <v>268</v>
      </c>
      <c r="D13" t="s">
        <v>272</v>
      </c>
    </row>
    <row r="14" spans="1:14" x14ac:dyDescent="0.25">
      <c r="A14" t="s">
        <v>589</v>
      </c>
      <c r="B14" t="s">
        <v>590</v>
      </c>
      <c r="C14" t="s">
        <v>591</v>
      </c>
      <c r="D14" t="s">
        <v>272</v>
      </c>
    </row>
    <row r="15" spans="1:14" x14ac:dyDescent="0.25">
      <c r="A15" t="s">
        <v>277</v>
      </c>
      <c r="B15" t="s">
        <v>278</v>
      </c>
      <c r="C15" t="s">
        <v>279</v>
      </c>
      <c r="D15" t="s">
        <v>272</v>
      </c>
    </row>
    <row r="16" spans="1:14" x14ac:dyDescent="0.25">
      <c r="A16" t="s">
        <v>280</v>
      </c>
      <c r="B16" t="s">
        <v>281</v>
      </c>
      <c r="C16" t="s">
        <v>279</v>
      </c>
      <c r="D16" t="s">
        <v>272</v>
      </c>
    </row>
    <row r="17" spans="1:4" x14ac:dyDescent="0.25">
      <c r="A17" t="s">
        <v>199</v>
      </c>
      <c r="B17" t="s">
        <v>282</v>
      </c>
      <c r="C17" t="s">
        <v>279</v>
      </c>
      <c r="D17" t="s">
        <v>272</v>
      </c>
    </row>
    <row r="18" spans="1:4" x14ac:dyDescent="0.25">
      <c r="A18" t="s">
        <v>283</v>
      </c>
      <c r="B18" t="s">
        <v>282</v>
      </c>
      <c r="C18" t="s">
        <v>279</v>
      </c>
      <c r="D18" t="s">
        <v>584</v>
      </c>
    </row>
    <row r="19" spans="1:4" x14ac:dyDescent="0.25">
      <c r="A19" t="s">
        <v>284</v>
      </c>
      <c r="B19" t="s">
        <v>282</v>
      </c>
      <c r="C19" t="s">
        <v>279</v>
      </c>
      <c r="D19" t="s">
        <v>584</v>
      </c>
    </row>
    <row r="20" spans="1:4" x14ac:dyDescent="0.25">
      <c r="A20" t="s">
        <v>285</v>
      </c>
      <c r="B20" t="s">
        <v>282</v>
      </c>
      <c r="C20" t="s">
        <v>279</v>
      </c>
      <c r="D20" t="s">
        <v>272</v>
      </c>
    </row>
    <row r="21" spans="1:4" x14ac:dyDescent="0.25">
      <c r="A21" t="s">
        <v>286</v>
      </c>
      <c r="B21" t="s">
        <v>287</v>
      </c>
      <c r="C21" t="s">
        <v>279</v>
      </c>
      <c r="D21" t="s">
        <v>584</v>
      </c>
    </row>
    <row r="22" spans="1:4" x14ac:dyDescent="0.25">
      <c r="A22" t="s">
        <v>592</v>
      </c>
      <c r="B22" t="s">
        <v>593</v>
      </c>
      <c r="C22" t="s">
        <v>594</v>
      </c>
      <c r="D22" t="s">
        <v>272</v>
      </c>
    </row>
    <row r="23" spans="1:4" x14ac:dyDescent="0.25">
      <c r="A23" t="s">
        <v>595</v>
      </c>
      <c r="B23" t="s">
        <v>288</v>
      </c>
      <c r="C23" t="s">
        <v>289</v>
      </c>
      <c r="D23" t="s">
        <v>272</v>
      </c>
    </row>
    <row r="24" spans="1:4" x14ac:dyDescent="0.25">
      <c r="A24" t="s">
        <v>200</v>
      </c>
      <c r="B24" t="s">
        <v>288</v>
      </c>
      <c r="C24" t="s">
        <v>289</v>
      </c>
      <c r="D24" t="s">
        <v>272</v>
      </c>
    </row>
    <row r="25" spans="1:4" x14ac:dyDescent="0.25">
      <c r="A25" t="s">
        <v>290</v>
      </c>
      <c r="B25" t="s">
        <v>291</v>
      </c>
      <c r="C25" t="s">
        <v>289</v>
      </c>
      <c r="D25" t="s">
        <v>584</v>
      </c>
    </row>
    <row r="26" spans="1:4" x14ac:dyDescent="0.25">
      <c r="A26" t="s">
        <v>596</v>
      </c>
      <c r="B26" t="s">
        <v>293</v>
      </c>
      <c r="C26" t="s">
        <v>289</v>
      </c>
      <c r="D26" t="s">
        <v>272</v>
      </c>
    </row>
    <row r="27" spans="1:4" x14ac:dyDescent="0.25">
      <c r="A27" t="s">
        <v>292</v>
      </c>
      <c r="B27" t="s">
        <v>293</v>
      </c>
      <c r="C27" t="s">
        <v>289</v>
      </c>
      <c r="D27" t="s">
        <v>584</v>
      </c>
    </row>
    <row r="28" spans="1:4" x14ac:dyDescent="0.25">
      <c r="A28" t="s">
        <v>294</v>
      </c>
      <c r="B28" t="s">
        <v>295</v>
      </c>
      <c r="C28" t="s">
        <v>289</v>
      </c>
      <c r="D28" t="s">
        <v>272</v>
      </c>
    </row>
    <row r="29" spans="1:4" x14ac:dyDescent="0.25">
      <c r="A29" t="s">
        <v>296</v>
      </c>
      <c r="B29" t="s">
        <v>297</v>
      </c>
      <c r="C29" t="s">
        <v>289</v>
      </c>
      <c r="D29" t="s">
        <v>272</v>
      </c>
    </row>
    <row r="30" spans="1:4" x14ac:dyDescent="0.25">
      <c r="A30" t="s">
        <v>298</v>
      </c>
      <c r="B30" t="s">
        <v>297</v>
      </c>
      <c r="C30" t="s">
        <v>289</v>
      </c>
      <c r="D30" t="s">
        <v>584</v>
      </c>
    </row>
    <row r="31" spans="1:4" x14ac:dyDescent="0.25">
      <c r="A31" t="s">
        <v>299</v>
      </c>
      <c r="B31" t="s">
        <v>254</v>
      </c>
      <c r="C31" t="s">
        <v>300</v>
      </c>
      <c r="D31" t="s">
        <v>584</v>
      </c>
    </row>
    <row r="32" spans="1:4" x14ac:dyDescent="0.25">
      <c r="A32" t="s">
        <v>301</v>
      </c>
      <c r="B32" t="s">
        <v>254</v>
      </c>
      <c r="C32" t="s">
        <v>300</v>
      </c>
      <c r="D32" t="s">
        <v>272</v>
      </c>
    </row>
    <row r="33" spans="1:4" x14ac:dyDescent="0.25">
      <c r="A33" t="s">
        <v>302</v>
      </c>
      <c r="B33" t="s">
        <v>254</v>
      </c>
      <c r="C33" t="s">
        <v>300</v>
      </c>
      <c r="D33" t="s">
        <v>584</v>
      </c>
    </row>
    <row r="34" spans="1:4" x14ac:dyDescent="0.25">
      <c r="A34" t="s">
        <v>303</v>
      </c>
      <c r="B34" t="s">
        <v>245</v>
      </c>
      <c r="C34" t="s">
        <v>300</v>
      </c>
      <c r="D34" t="s">
        <v>584</v>
      </c>
    </row>
    <row r="35" spans="1:4" x14ac:dyDescent="0.25">
      <c r="A35" t="s">
        <v>304</v>
      </c>
      <c r="B35" t="s">
        <v>245</v>
      </c>
      <c r="C35" t="s">
        <v>300</v>
      </c>
      <c r="D35" t="s">
        <v>584</v>
      </c>
    </row>
    <row r="36" spans="1:4" x14ac:dyDescent="0.25">
      <c r="A36" t="s">
        <v>305</v>
      </c>
      <c r="B36" t="s">
        <v>245</v>
      </c>
      <c r="C36" t="s">
        <v>300</v>
      </c>
      <c r="D36" t="s">
        <v>584</v>
      </c>
    </row>
    <row r="37" spans="1:4" x14ac:dyDescent="0.25">
      <c r="A37" t="s">
        <v>306</v>
      </c>
      <c r="B37" t="s">
        <v>307</v>
      </c>
      <c r="C37" t="s">
        <v>300</v>
      </c>
      <c r="D37" t="s">
        <v>272</v>
      </c>
    </row>
    <row r="38" spans="1:4" x14ac:dyDescent="0.25">
      <c r="A38" t="s">
        <v>308</v>
      </c>
      <c r="B38" t="s">
        <v>248</v>
      </c>
      <c r="C38" t="s">
        <v>300</v>
      </c>
      <c r="D38" t="s">
        <v>584</v>
      </c>
    </row>
    <row r="39" spans="1:4" x14ac:dyDescent="0.25">
      <c r="A39" t="s">
        <v>309</v>
      </c>
      <c r="B39" t="s">
        <v>248</v>
      </c>
      <c r="C39" t="s">
        <v>300</v>
      </c>
      <c r="D39" t="s">
        <v>584</v>
      </c>
    </row>
    <row r="40" spans="1:4" x14ac:dyDescent="0.25">
      <c r="A40" t="s">
        <v>196</v>
      </c>
      <c r="B40" t="s">
        <v>251</v>
      </c>
      <c r="C40" t="s">
        <v>300</v>
      </c>
      <c r="D40" t="s">
        <v>272</v>
      </c>
    </row>
    <row r="41" spans="1:4" x14ac:dyDescent="0.25">
      <c r="A41" t="s">
        <v>310</v>
      </c>
      <c r="B41" t="s">
        <v>251</v>
      </c>
      <c r="C41" t="s">
        <v>300</v>
      </c>
      <c r="D41" t="s">
        <v>584</v>
      </c>
    </row>
    <row r="42" spans="1:4" x14ac:dyDescent="0.25">
      <c r="A42" t="s">
        <v>311</v>
      </c>
      <c r="B42" t="s">
        <v>251</v>
      </c>
      <c r="C42" t="s">
        <v>300</v>
      </c>
      <c r="D42" t="s">
        <v>272</v>
      </c>
    </row>
    <row r="43" spans="1:4" x14ac:dyDescent="0.25">
      <c r="A43" t="s">
        <v>312</v>
      </c>
      <c r="B43" t="s">
        <v>251</v>
      </c>
      <c r="C43" t="s">
        <v>300</v>
      </c>
      <c r="D43" t="s">
        <v>584</v>
      </c>
    </row>
    <row r="44" spans="1:4" x14ac:dyDescent="0.25">
      <c r="A44" t="s">
        <v>313</v>
      </c>
      <c r="B44" t="s">
        <v>242</v>
      </c>
      <c r="C44" t="s">
        <v>300</v>
      </c>
      <c r="D44" t="s">
        <v>584</v>
      </c>
    </row>
    <row r="45" spans="1:4" x14ac:dyDescent="0.25">
      <c r="A45" t="s">
        <v>314</v>
      </c>
      <c r="B45" t="s">
        <v>242</v>
      </c>
      <c r="C45" t="s">
        <v>300</v>
      </c>
      <c r="D45" t="s">
        <v>584</v>
      </c>
    </row>
    <row r="46" spans="1:4" x14ac:dyDescent="0.25">
      <c r="A46" t="s">
        <v>315</v>
      </c>
      <c r="B46" t="s">
        <v>242</v>
      </c>
      <c r="C46" t="s">
        <v>300</v>
      </c>
      <c r="D46" t="s">
        <v>272</v>
      </c>
    </row>
    <row r="47" spans="1:4" x14ac:dyDescent="0.25">
      <c r="A47" t="s">
        <v>597</v>
      </c>
      <c r="B47" t="s">
        <v>242</v>
      </c>
      <c r="C47" t="s">
        <v>300</v>
      </c>
      <c r="D47" t="s">
        <v>272</v>
      </c>
    </row>
    <row r="48" spans="1:4" x14ac:dyDescent="0.25">
      <c r="A48" t="s">
        <v>316</v>
      </c>
      <c r="B48" t="s">
        <v>242</v>
      </c>
      <c r="C48" t="s">
        <v>300</v>
      </c>
      <c r="D48" t="s">
        <v>584</v>
      </c>
    </row>
    <row r="49" spans="1:4" x14ac:dyDescent="0.25">
      <c r="A49" t="s">
        <v>317</v>
      </c>
      <c r="B49" t="s">
        <v>242</v>
      </c>
      <c r="C49" t="s">
        <v>300</v>
      </c>
      <c r="D49" t="s">
        <v>272</v>
      </c>
    </row>
    <row r="50" spans="1:4" x14ac:dyDescent="0.25">
      <c r="A50" t="s">
        <v>598</v>
      </c>
      <c r="B50" t="s">
        <v>242</v>
      </c>
      <c r="C50" t="s">
        <v>300</v>
      </c>
      <c r="D50" t="s">
        <v>272</v>
      </c>
    </row>
    <row r="51" spans="1:4" x14ac:dyDescent="0.25">
      <c r="A51" t="s">
        <v>318</v>
      </c>
      <c r="B51" t="s">
        <v>242</v>
      </c>
      <c r="C51" t="s">
        <v>300</v>
      </c>
      <c r="D51" t="s">
        <v>272</v>
      </c>
    </row>
    <row r="52" spans="1:4" x14ac:dyDescent="0.25">
      <c r="A52" t="s">
        <v>319</v>
      </c>
      <c r="B52" t="s">
        <v>242</v>
      </c>
      <c r="C52" t="s">
        <v>300</v>
      </c>
      <c r="D52" t="s">
        <v>584</v>
      </c>
    </row>
    <row r="53" spans="1:4" x14ac:dyDescent="0.25">
      <c r="A53" t="s">
        <v>320</v>
      </c>
      <c r="B53" t="s">
        <v>258</v>
      </c>
      <c r="C53" t="s">
        <v>300</v>
      </c>
      <c r="D53" t="s">
        <v>272</v>
      </c>
    </row>
    <row r="54" spans="1:4" x14ac:dyDescent="0.25">
      <c r="A54" t="s">
        <v>321</v>
      </c>
      <c r="B54" t="s">
        <v>258</v>
      </c>
      <c r="C54" t="s">
        <v>300</v>
      </c>
      <c r="D54" t="s">
        <v>584</v>
      </c>
    </row>
    <row r="55" spans="1:4" x14ac:dyDescent="0.25">
      <c r="A55" t="s">
        <v>322</v>
      </c>
      <c r="B55" t="s">
        <v>258</v>
      </c>
      <c r="C55" t="s">
        <v>300</v>
      </c>
      <c r="D55" t="s">
        <v>584</v>
      </c>
    </row>
    <row r="56" spans="1:4" x14ac:dyDescent="0.25">
      <c r="A56" t="s">
        <v>323</v>
      </c>
      <c r="B56" t="s">
        <v>258</v>
      </c>
      <c r="C56" t="s">
        <v>300</v>
      </c>
      <c r="D56" t="s">
        <v>272</v>
      </c>
    </row>
    <row r="57" spans="1:4" x14ac:dyDescent="0.25">
      <c r="A57" t="s">
        <v>324</v>
      </c>
      <c r="B57" t="s">
        <v>258</v>
      </c>
      <c r="C57" t="s">
        <v>300</v>
      </c>
      <c r="D57" t="s">
        <v>584</v>
      </c>
    </row>
    <row r="58" spans="1:4" x14ac:dyDescent="0.25">
      <c r="A58" t="s">
        <v>325</v>
      </c>
      <c r="B58" t="s">
        <v>256</v>
      </c>
      <c r="C58" t="s">
        <v>300</v>
      </c>
      <c r="D58" t="s">
        <v>584</v>
      </c>
    </row>
  </sheetData>
  <sheetProtection algorithmName="SHA-512" hashValue="grJ4twU5BYFrl7ZvW33nIuQZlZjdN/txO7ZaT+NaBpSJjkx6CuVuyxAbB0aakgj2rhsgMT65kw8mi7JaFqQe7Q==" saltValue="BdO+wqfk9S29QWgsPQtF+Q==" spinCount="100000" sheet="1" objects="1" scenarios="1"/>
  <mergeCells count="1">
    <mergeCell ref="A2:D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2C478-22B0-49D0-904A-68DD6E8D50CD}">
  <sheetPr codeName="Sheet19"/>
  <dimension ref="A1:J49"/>
  <sheetViews>
    <sheetView workbookViewId="0">
      <selection activeCell="J6" sqref="J6:N6"/>
    </sheetView>
  </sheetViews>
  <sheetFormatPr defaultRowHeight="15" x14ac:dyDescent="0.25"/>
  <cols>
    <col min="3" max="4" width="10.28515625" bestFit="1" customWidth="1"/>
  </cols>
  <sheetData>
    <row r="1" spans="1:10" ht="18.75" x14ac:dyDescent="0.25">
      <c r="A1" t="s">
        <v>178</v>
      </c>
      <c r="D1">
        <v>10</v>
      </c>
      <c r="J1" s="136" t="s">
        <v>442</v>
      </c>
    </row>
    <row r="2" spans="1:10" ht="18.75" x14ac:dyDescent="0.25">
      <c r="A2" cm="1">
        <f t="array" ref="A2">gradeGenericQuestionRange("Text",A4:D49,D1,Question6!A5:D50)</f>
        <v>2.8260865211486816</v>
      </c>
      <c r="J2" s="136" t="s">
        <v>443</v>
      </c>
    </row>
    <row r="3" spans="1:10" ht="18.75" x14ac:dyDescent="0.25">
      <c r="J3" s="136" t="s">
        <v>327</v>
      </c>
    </row>
    <row r="4" spans="1:10" ht="18.75" x14ac:dyDescent="0.25">
      <c r="A4" t="s">
        <v>421</v>
      </c>
      <c r="B4" t="s">
        <v>263</v>
      </c>
      <c r="C4" t="s">
        <v>264</v>
      </c>
      <c r="D4" t="s">
        <v>265</v>
      </c>
      <c r="J4" s="136" t="s">
        <v>444</v>
      </c>
    </row>
    <row r="5" spans="1:10" ht="18.75" x14ac:dyDescent="0.25">
      <c r="A5" t="s">
        <v>266</v>
      </c>
      <c r="B5" t="s">
        <v>267</v>
      </c>
      <c r="C5" s="93" t="s">
        <v>268</v>
      </c>
      <c r="D5" s="93" t="s">
        <v>241</v>
      </c>
      <c r="J5" s="136" t="s">
        <v>445</v>
      </c>
    </row>
    <row r="6" spans="1:10" ht="18.75" x14ac:dyDescent="0.25">
      <c r="A6" t="s">
        <v>269</v>
      </c>
      <c r="B6" t="s">
        <v>267</v>
      </c>
      <c r="C6" s="93" t="s">
        <v>268</v>
      </c>
      <c r="D6" s="93" t="s">
        <v>241</v>
      </c>
      <c r="J6" s="136" t="s">
        <v>446</v>
      </c>
    </row>
    <row r="7" spans="1:10" x14ac:dyDescent="0.25">
      <c r="A7" t="s">
        <v>270</v>
      </c>
      <c r="B7" t="s">
        <v>271</v>
      </c>
      <c r="C7" s="93" t="s">
        <v>268</v>
      </c>
      <c r="D7" s="93" t="s">
        <v>272</v>
      </c>
    </row>
    <row r="8" spans="1:10" x14ac:dyDescent="0.25">
      <c r="A8" t="s">
        <v>273</v>
      </c>
      <c r="B8" t="s">
        <v>271</v>
      </c>
      <c r="C8" s="93" t="s">
        <v>268</v>
      </c>
      <c r="D8" s="93" t="s">
        <v>241</v>
      </c>
    </row>
    <row r="9" spans="1:10" x14ac:dyDescent="0.25">
      <c r="A9" t="s">
        <v>274</v>
      </c>
      <c r="B9" t="s">
        <v>275</v>
      </c>
      <c r="C9" t="s">
        <v>268</v>
      </c>
      <c r="D9" t="s">
        <v>272</v>
      </c>
    </row>
    <row r="10" spans="1:10" x14ac:dyDescent="0.25">
      <c r="A10" t="s">
        <v>276</v>
      </c>
      <c r="B10" t="s">
        <v>275</v>
      </c>
      <c r="C10" t="s">
        <v>268</v>
      </c>
      <c r="D10" t="s">
        <v>241</v>
      </c>
    </row>
    <row r="11" spans="1:10" x14ac:dyDescent="0.25">
      <c r="A11" t="s">
        <v>277</v>
      </c>
      <c r="B11" t="s">
        <v>278</v>
      </c>
      <c r="C11" t="s">
        <v>279</v>
      </c>
      <c r="D11" t="s">
        <v>272</v>
      </c>
    </row>
    <row r="12" spans="1:10" x14ac:dyDescent="0.25">
      <c r="A12" t="s">
        <v>280</v>
      </c>
      <c r="B12" t="s">
        <v>281</v>
      </c>
      <c r="C12" t="s">
        <v>279</v>
      </c>
      <c r="D12" t="s">
        <v>272</v>
      </c>
    </row>
    <row r="13" spans="1:10" x14ac:dyDescent="0.25">
      <c r="A13" t="s">
        <v>199</v>
      </c>
      <c r="B13" t="s">
        <v>282</v>
      </c>
      <c r="C13" t="s">
        <v>279</v>
      </c>
      <c r="D13" t="s">
        <v>272</v>
      </c>
    </row>
    <row r="14" spans="1:10" x14ac:dyDescent="0.25">
      <c r="A14" t="s">
        <v>283</v>
      </c>
      <c r="B14" t="s">
        <v>282</v>
      </c>
      <c r="C14" t="s">
        <v>279</v>
      </c>
      <c r="D14" t="s">
        <v>241</v>
      </c>
    </row>
    <row r="15" spans="1:10" x14ac:dyDescent="0.25">
      <c r="A15" t="s">
        <v>284</v>
      </c>
      <c r="B15" t="s">
        <v>282</v>
      </c>
      <c r="C15" t="s">
        <v>279</v>
      </c>
      <c r="D15" t="s">
        <v>241</v>
      </c>
    </row>
    <row r="16" spans="1:10" x14ac:dyDescent="0.25">
      <c r="A16" t="s">
        <v>285</v>
      </c>
      <c r="B16" t="s">
        <v>282</v>
      </c>
      <c r="C16" t="s">
        <v>279</v>
      </c>
      <c r="D16" t="s">
        <v>272</v>
      </c>
    </row>
    <row r="17" spans="1:4" x14ac:dyDescent="0.25">
      <c r="A17" t="s">
        <v>286</v>
      </c>
      <c r="B17" t="s">
        <v>287</v>
      </c>
      <c r="C17" t="s">
        <v>279</v>
      </c>
      <c r="D17" t="s">
        <v>241</v>
      </c>
    </row>
    <row r="18" spans="1:4" x14ac:dyDescent="0.25">
      <c r="A18" t="s">
        <v>200</v>
      </c>
      <c r="B18" t="s">
        <v>288</v>
      </c>
      <c r="C18" t="s">
        <v>289</v>
      </c>
      <c r="D18" t="s">
        <v>272</v>
      </c>
    </row>
    <row r="19" spans="1:4" x14ac:dyDescent="0.25">
      <c r="A19" t="s">
        <v>290</v>
      </c>
      <c r="B19" t="s">
        <v>291</v>
      </c>
      <c r="C19" t="s">
        <v>289</v>
      </c>
      <c r="D19" t="s">
        <v>241</v>
      </c>
    </row>
    <row r="20" spans="1:4" x14ac:dyDescent="0.25">
      <c r="A20" t="s">
        <v>292</v>
      </c>
      <c r="B20" t="s">
        <v>293</v>
      </c>
      <c r="C20" t="s">
        <v>289</v>
      </c>
      <c r="D20" t="s">
        <v>241</v>
      </c>
    </row>
    <row r="21" spans="1:4" x14ac:dyDescent="0.25">
      <c r="A21" t="s">
        <v>294</v>
      </c>
      <c r="B21" t="s">
        <v>295</v>
      </c>
      <c r="C21" t="s">
        <v>289</v>
      </c>
      <c r="D21" t="s">
        <v>272</v>
      </c>
    </row>
    <row r="22" spans="1:4" x14ac:dyDescent="0.25">
      <c r="A22" t="s">
        <v>296</v>
      </c>
      <c r="B22" t="s">
        <v>297</v>
      </c>
      <c r="C22" t="s">
        <v>289</v>
      </c>
      <c r="D22" t="s">
        <v>272</v>
      </c>
    </row>
    <row r="23" spans="1:4" x14ac:dyDescent="0.25">
      <c r="A23" t="s">
        <v>298</v>
      </c>
      <c r="B23" t="s">
        <v>297</v>
      </c>
      <c r="C23" t="s">
        <v>289</v>
      </c>
      <c r="D23" t="s">
        <v>241</v>
      </c>
    </row>
    <row r="24" spans="1:4" x14ac:dyDescent="0.25">
      <c r="A24" t="s">
        <v>299</v>
      </c>
      <c r="B24" t="s">
        <v>254</v>
      </c>
      <c r="C24" t="s">
        <v>300</v>
      </c>
      <c r="D24" t="s">
        <v>241</v>
      </c>
    </row>
    <row r="25" spans="1:4" x14ac:dyDescent="0.25">
      <c r="A25" t="s">
        <v>301</v>
      </c>
      <c r="B25" t="s">
        <v>254</v>
      </c>
      <c r="C25" t="s">
        <v>300</v>
      </c>
      <c r="D25" t="s">
        <v>272</v>
      </c>
    </row>
    <row r="26" spans="1:4" x14ac:dyDescent="0.25">
      <c r="A26" t="s">
        <v>302</v>
      </c>
      <c r="B26" t="s">
        <v>254</v>
      </c>
      <c r="C26" t="s">
        <v>300</v>
      </c>
      <c r="D26" t="s">
        <v>241</v>
      </c>
    </row>
    <row r="27" spans="1:4" x14ac:dyDescent="0.25">
      <c r="A27" t="s">
        <v>303</v>
      </c>
      <c r="B27" t="s">
        <v>245</v>
      </c>
      <c r="C27" t="s">
        <v>300</v>
      </c>
      <c r="D27" t="s">
        <v>241</v>
      </c>
    </row>
    <row r="28" spans="1:4" x14ac:dyDescent="0.25">
      <c r="A28" t="s">
        <v>304</v>
      </c>
      <c r="B28" t="s">
        <v>245</v>
      </c>
      <c r="C28" t="s">
        <v>300</v>
      </c>
      <c r="D28" t="s">
        <v>241</v>
      </c>
    </row>
    <row r="29" spans="1:4" x14ac:dyDescent="0.25">
      <c r="A29" t="s">
        <v>305</v>
      </c>
      <c r="B29" t="s">
        <v>245</v>
      </c>
      <c r="C29" t="s">
        <v>300</v>
      </c>
      <c r="D29" t="s">
        <v>241</v>
      </c>
    </row>
    <row r="30" spans="1:4" x14ac:dyDescent="0.25">
      <c r="A30" t="s">
        <v>306</v>
      </c>
      <c r="B30" t="s">
        <v>307</v>
      </c>
      <c r="C30" t="s">
        <v>300</v>
      </c>
      <c r="D30" t="s">
        <v>272</v>
      </c>
    </row>
    <row r="31" spans="1:4" x14ac:dyDescent="0.25">
      <c r="A31" t="s">
        <v>308</v>
      </c>
      <c r="B31" t="s">
        <v>248</v>
      </c>
      <c r="C31" t="s">
        <v>300</v>
      </c>
      <c r="D31" t="s">
        <v>241</v>
      </c>
    </row>
    <row r="32" spans="1:4" x14ac:dyDescent="0.25">
      <c r="A32" t="s">
        <v>309</v>
      </c>
      <c r="B32" t="s">
        <v>248</v>
      </c>
      <c r="C32" t="s">
        <v>300</v>
      </c>
      <c r="D32" t="s">
        <v>241</v>
      </c>
    </row>
    <row r="33" spans="1:4" x14ac:dyDescent="0.25">
      <c r="A33" t="s">
        <v>196</v>
      </c>
      <c r="B33" t="s">
        <v>251</v>
      </c>
      <c r="C33" t="s">
        <v>300</v>
      </c>
      <c r="D33" t="s">
        <v>272</v>
      </c>
    </row>
    <row r="34" spans="1:4" x14ac:dyDescent="0.25">
      <c r="A34" t="s">
        <v>310</v>
      </c>
      <c r="B34" t="s">
        <v>251</v>
      </c>
      <c r="C34" t="s">
        <v>300</v>
      </c>
      <c r="D34" t="s">
        <v>241</v>
      </c>
    </row>
    <row r="35" spans="1:4" x14ac:dyDescent="0.25">
      <c r="A35" t="s">
        <v>311</v>
      </c>
      <c r="B35" t="s">
        <v>251</v>
      </c>
      <c r="C35" t="s">
        <v>300</v>
      </c>
      <c r="D35" t="s">
        <v>272</v>
      </c>
    </row>
    <row r="36" spans="1:4" x14ac:dyDescent="0.25">
      <c r="A36" t="s">
        <v>312</v>
      </c>
      <c r="B36" t="s">
        <v>251</v>
      </c>
      <c r="C36" t="s">
        <v>300</v>
      </c>
      <c r="D36" t="s">
        <v>241</v>
      </c>
    </row>
    <row r="37" spans="1:4" x14ac:dyDescent="0.25">
      <c r="A37" t="s">
        <v>313</v>
      </c>
      <c r="B37" t="s">
        <v>242</v>
      </c>
      <c r="C37" t="s">
        <v>300</v>
      </c>
      <c r="D37" t="s">
        <v>241</v>
      </c>
    </row>
    <row r="38" spans="1:4" x14ac:dyDescent="0.25">
      <c r="A38" t="s">
        <v>314</v>
      </c>
      <c r="B38" t="s">
        <v>242</v>
      </c>
      <c r="C38" t="s">
        <v>300</v>
      </c>
      <c r="D38" t="s">
        <v>241</v>
      </c>
    </row>
    <row r="39" spans="1:4" x14ac:dyDescent="0.25">
      <c r="A39" t="s">
        <v>315</v>
      </c>
      <c r="B39" t="s">
        <v>242</v>
      </c>
      <c r="C39" t="s">
        <v>300</v>
      </c>
      <c r="D39" t="s">
        <v>272</v>
      </c>
    </row>
    <row r="40" spans="1:4" x14ac:dyDescent="0.25">
      <c r="A40" t="s">
        <v>316</v>
      </c>
      <c r="B40" t="s">
        <v>242</v>
      </c>
      <c r="C40" t="s">
        <v>300</v>
      </c>
      <c r="D40" t="s">
        <v>259</v>
      </c>
    </row>
    <row r="41" spans="1:4" x14ac:dyDescent="0.25">
      <c r="A41" t="s">
        <v>317</v>
      </c>
      <c r="B41" t="s">
        <v>242</v>
      </c>
      <c r="C41" t="s">
        <v>300</v>
      </c>
      <c r="D41" t="s">
        <v>272</v>
      </c>
    </row>
    <row r="42" spans="1:4" x14ac:dyDescent="0.25">
      <c r="A42" t="s">
        <v>318</v>
      </c>
      <c r="B42" t="s">
        <v>242</v>
      </c>
      <c r="C42" t="s">
        <v>300</v>
      </c>
      <c r="D42" t="s">
        <v>272</v>
      </c>
    </row>
    <row r="43" spans="1:4" x14ac:dyDescent="0.25">
      <c r="A43" t="s">
        <v>319</v>
      </c>
      <c r="B43" t="s">
        <v>242</v>
      </c>
      <c r="C43" t="s">
        <v>300</v>
      </c>
      <c r="D43" t="s">
        <v>261</v>
      </c>
    </row>
    <row r="44" spans="1:4" x14ac:dyDescent="0.25">
      <c r="A44" t="s">
        <v>320</v>
      </c>
      <c r="B44" t="s">
        <v>258</v>
      </c>
      <c r="C44" t="s">
        <v>300</v>
      </c>
      <c r="D44" t="s">
        <v>272</v>
      </c>
    </row>
    <row r="45" spans="1:4" x14ac:dyDescent="0.25">
      <c r="A45" t="s">
        <v>321</v>
      </c>
      <c r="B45" t="s">
        <v>258</v>
      </c>
      <c r="C45" t="s">
        <v>300</v>
      </c>
      <c r="D45" t="s">
        <v>241</v>
      </c>
    </row>
    <row r="46" spans="1:4" x14ac:dyDescent="0.25">
      <c r="A46" t="s">
        <v>322</v>
      </c>
      <c r="B46" t="s">
        <v>258</v>
      </c>
      <c r="C46" t="s">
        <v>300</v>
      </c>
      <c r="D46" t="s">
        <v>260</v>
      </c>
    </row>
    <row r="47" spans="1:4" x14ac:dyDescent="0.25">
      <c r="A47" t="s">
        <v>323</v>
      </c>
      <c r="B47" t="s">
        <v>258</v>
      </c>
      <c r="C47" t="s">
        <v>300</v>
      </c>
      <c r="D47" t="s">
        <v>272</v>
      </c>
    </row>
    <row r="48" spans="1:4" x14ac:dyDescent="0.25">
      <c r="A48" t="s">
        <v>324</v>
      </c>
      <c r="B48" t="s">
        <v>258</v>
      </c>
      <c r="C48" t="s">
        <v>300</v>
      </c>
      <c r="D48" t="s">
        <v>241</v>
      </c>
    </row>
    <row r="49" spans="1:4" x14ac:dyDescent="0.25">
      <c r="A49" t="s">
        <v>325</v>
      </c>
      <c r="B49" t="s">
        <v>256</v>
      </c>
      <c r="C49" t="s">
        <v>300</v>
      </c>
      <c r="D49" t="s">
        <v>241</v>
      </c>
    </row>
  </sheetData>
  <sheetProtection algorithmName="SHA-512" hashValue="G4ed58xi06RQt7YS3JBhuDhv8maVgLOD/ZlUmhJ0NAU3PFAu5VsVWziEgRCc6r52VrOL9zyCp4LhaHasdSKvJw==" saltValue="rLirwQ9zO5AD8aCDgS+1bg==" spinCount="100000"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34079-A7E9-43AC-B8BC-BF3A626A4BB1}">
  <sheetPr codeName="Sheet20"/>
  <dimension ref="A1:N75"/>
  <sheetViews>
    <sheetView workbookViewId="0">
      <selection activeCell="H12" sqref="H12"/>
    </sheetView>
  </sheetViews>
  <sheetFormatPr defaultRowHeight="15" x14ac:dyDescent="0.25"/>
  <cols>
    <col min="1" max="1" width="38.85546875" customWidth="1"/>
    <col min="3" max="3" width="10.28515625" bestFit="1" customWidth="1"/>
    <col min="4" max="4" width="11.42578125" customWidth="1"/>
    <col min="8" max="9" width="33" customWidth="1"/>
  </cols>
  <sheetData>
    <row r="1" spans="1:14" ht="90" x14ac:dyDescent="0.25">
      <c r="A1" s="87" t="s">
        <v>179</v>
      </c>
      <c r="D1" t="s">
        <v>184</v>
      </c>
      <c r="E1" s="5"/>
      <c r="F1" s="5"/>
      <c r="G1" s="5"/>
      <c r="H1" s="120" t="s">
        <v>422</v>
      </c>
      <c r="I1" t="s">
        <v>48</v>
      </c>
    </row>
    <row r="2" spans="1:14" ht="193.15" customHeight="1" x14ac:dyDescent="0.25">
      <c r="A2" s="158" t="s">
        <v>602</v>
      </c>
      <c r="B2" s="159"/>
      <c r="C2" s="159"/>
      <c r="D2" s="159"/>
      <c r="H2" s="120" t="s">
        <v>181</v>
      </c>
    </row>
    <row r="3" spans="1:14" ht="15.75" x14ac:dyDescent="0.25">
      <c r="A3" s="89" t="s">
        <v>168</v>
      </c>
      <c r="F3" t="s">
        <v>170</v>
      </c>
      <c r="N3" s="144" t="s">
        <v>603</v>
      </c>
    </row>
    <row r="4" spans="1:14" x14ac:dyDescent="0.25">
      <c r="N4" s="144" t="s">
        <v>577</v>
      </c>
    </row>
    <row r="5" spans="1:14" x14ac:dyDescent="0.25">
      <c r="A5" s="86" t="s">
        <v>614</v>
      </c>
      <c r="B5" s="86" t="s">
        <v>185</v>
      </c>
      <c r="C5" s="86" t="s">
        <v>463</v>
      </c>
      <c r="D5" t="s">
        <v>539</v>
      </c>
      <c r="N5" s="144" t="s">
        <v>543</v>
      </c>
    </row>
    <row r="6" spans="1:14" x14ac:dyDescent="0.25">
      <c r="A6" s="86" t="s">
        <v>309</v>
      </c>
      <c r="B6" s="86" t="s">
        <v>346</v>
      </c>
      <c r="C6" s="104" t="s">
        <v>347</v>
      </c>
      <c r="D6" s="93">
        <v>44210</v>
      </c>
      <c r="N6" s="144" t="s">
        <v>604</v>
      </c>
    </row>
    <row r="7" spans="1:14" x14ac:dyDescent="0.25">
      <c r="A7" t="s">
        <v>276</v>
      </c>
      <c r="B7" t="s">
        <v>331</v>
      </c>
      <c r="C7" s="93" t="s">
        <v>332</v>
      </c>
      <c r="D7" s="93">
        <v>44209</v>
      </c>
      <c r="N7" s="144" t="s">
        <v>605</v>
      </c>
    </row>
    <row r="8" spans="1:14" x14ac:dyDescent="0.25">
      <c r="A8" t="s">
        <v>284</v>
      </c>
      <c r="B8" t="s">
        <v>381</v>
      </c>
      <c r="C8" s="93" t="s">
        <v>382</v>
      </c>
      <c r="D8" s="93">
        <v>44209</v>
      </c>
      <c r="N8" s="144" t="s">
        <v>606</v>
      </c>
    </row>
    <row r="9" spans="1:14" x14ac:dyDescent="0.25">
      <c r="A9" t="s">
        <v>324</v>
      </c>
      <c r="B9" t="s">
        <v>381</v>
      </c>
      <c r="C9" s="93" t="s">
        <v>382</v>
      </c>
      <c r="D9" s="93">
        <v>44209</v>
      </c>
      <c r="N9" s="144" t="s">
        <v>607</v>
      </c>
    </row>
    <row r="10" spans="1:14" x14ac:dyDescent="0.25">
      <c r="A10" t="s">
        <v>305</v>
      </c>
      <c r="B10" t="s">
        <v>383</v>
      </c>
      <c r="C10" t="s">
        <v>384</v>
      </c>
      <c r="D10" s="93">
        <v>44210</v>
      </c>
      <c r="N10" s="144" t="s">
        <v>608</v>
      </c>
    </row>
    <row r="11" spans="1:14" x14ac:dyDescent="0.25">
      <c r="A11" t="s">
        <v>325</v>
      </c>
      <c r="B11" t="s">
        <v>370</v>
      </c>
      <c r="C11" t="s">
        <v>371</v>
      </c>
      <c r="D11" s="93">
        <v>44210</v>
      </c>
      <c r="N11" s="144" t="s">
        <v>609</v>
      </c>
    </row>
    <row r="12" spans="1:14" x14ac:dyDescent="0.25">
      <c r="A12" t="s">
        <v>276</v>
      </c>
      <c r="B12" t="s">
        <v>333</v>
      </c>
      <c r="C12" t="s">
        <v>334</v>
      </c>
      <c r="D12" s="93">
        <v>44209</v>
      </c>
      <c r="N12" s="144" t="s">
        <v>534</v>
      </c>
    </row>
    <row r="13" spans="1:14" x14ac:dyDescent="0.25">
      <c r="A13" t="s">
        <v>312</v>
      </c>
      <c r="B13" t="s">
        <v>333</v>
      </c>
      <c r="C13" t="s">
        <v>334</v>
      </c>
      <c r="D13" s="93">
        <v>44209</v>
      </c>
      <c r="N13" s="144" t="s">
        <v>610</v>
      </c>
    </row>
    <row r="14" spans="1:14" x14ac:dyDescent="0.25">
      <c r="A14" t="s">
        <v>313</v>
      </c>
      <c r="B14" t="s">
        <v>187</v>
      </c>
      <c r="C14" t="s">
        <v>341</v>
      </c>
      <c r="D14" s="93">
        <v>44209</v>
      </c>
      <c r="N14" s="144" t="s">
        <v>611</v>
      </c>
    </row>
    <row r="15" spans="1:14" x14ac:dyDescent="0.25">
      <c r="A15" t="s">
        <v>283</v>
      </c>
      <c r="B15" t="s">
        <v>187</v>
      </c>
      <c r="C15" t="s">
        <v>341</v>
      </c>
      <c r="D15" s="93">
        <v>44209</v>
      </c>
    </row>
    <row r="16" spans="1:14" x14ac:dyDescent="0.25">
      <c r="A16" t="s">
        <v>313</v>
      </c>
      <c r="B16" t="s">
        <v>187</v>
      </c>
      <c r="C16" t="s">
        <v>341</v>
      </c>
      <c r="D16" s="93">
        <v>44209</v>
      </c>
    </row>
    <row r="17" spans="1:4" x14ac:dyDescent="0.25">
      <c r="A17" t="s">
        <v>299</v>
      </c>
      <c r="B17" t="s">
        <v>188</v>
      </c>
      <c r="C17" t="s">
        <v>389</v>
      </c>
      <c r="D17" s="93">
        <v>44209</v>
      </c>
    </row>
    <row r="18" spans="1:4" x14ac:dyDescent="0.25">
      <c r="A18" t="s">
        <v>312</v>
      </c>
      <c r="B18" t="s">
        <v>188</v>
      </c>
      <c r="C18" t="s">
        <v>389</v>
      </c>
      <c r="D18" s="93">
        <v>44209</v>
      </c>
    </row>
    <row r="19" spans="1:4" x14ac:dyDescent="0.25">
      <c r="A19" t="s">
        <v>299</v>
      </c>
      <c r="B19" t="s">
        <v>188</v>
      </c>
      <c r="C19" t="s">
        <v>389</v>
      </c>
      <c r="D19" s="93">
        <v>44209</v>
      </c>
    </row>
    <row r="20" spans="1:4" x14ac:dyDescent="0.25">
      <c r="A20" t="s">
        <v>325</v>
      </c>
      <c r="B20" t="s">
        <v>189</v>
      </c>
      <c r="C20" t="s">
        <v>372</v>
      </c>
      <c r="D20" s="93">
        <v>44209</v>
      </c>
    </row>
    <row r="21" spans="1:4" x14ac:dyDescent="0.25">
      <c r="A21" t="s">
        <v>325</v>
      </c>
      <c r="B21" t="s">
        <v>373</v>
      </c>
      <c r="C21" t="s">
        <v>374</v>
      </c>
      <c r="D21" s="93">
        <v>44209</v>
      </c>
    </row>
    <row r="22" spans="1:4" x14ac:dyDescent="0.25">
      <c r="A22" t="s">
        <v>276</v>
      </c>
      <c r="B22" t="s">
        <v>335</v>
      </c>
      <c r="C22" t="s">
        <v>336</v>
      </c>
      <c r="D22" s="93">
        <v>44209</v>
      </c>
    </row>
    <row r="23" spans="1:4" x14ac:dyDescent="0.25">
      <c r="A23" t="s">
        <v>325</v>
      </c>
      <c r="B23" t="s">
        <v>375</v>
      </c>
      <c r="C23" t="s">
        <v>376</v>
      </c>
      <c r="D23" s="93">
        <v>44210</v>
      </c>
    </row>
    <row r="24" spans="1:4" x14ac:dyDescent="0.25">
      <c r="A24" t="s">
        <v>276</v>
      </c>
      <c r="B24" t="s">
        <v>337</v>
      </c>
      <c r="C24" t="s">
        <v>338</v>
      </c>
      <c r="D24" s="93">
        <v>44209</v>
      </c>
    </row>
    <row r="25" spans="1:4" x14ac:dyDescent="0.25">
      <c r="A25" t="s">
        <v>303</v>
      </c>
      <c r="B25" t="s">
        <v>360</v>
      </c>
      <c r="C25" t="s">
        <v>361</v>
      </c>
      <c r="D25" s="93">
        <v>44209</v>
      </c>
    </row>
    <row r="26" spans="1:4" x14ac:dyDescent="0.25">
      <c r="A26" t="s">
        <v>298</v>
      </c>
      <c r="B26" t="s">
        <v>360</v>
      </c>
      <c r="C26" t="s">
        <v>361</v>
      </c>
      <c r="D26" s="93">
        <v>44210</v>
      </c>
    </row>
    <row r="27" spans="1:4" x14ac:dyDescent="0.25">
      <c r="A27" t="s">
        <v>273</v>
      </c>
      <c r="B27" t="s">
        <v>406</v>
      </c>
      <c r="C27" t="s">
        <v>407</v>
      </c>
      <c r="D27" s="93">
        <v>44209</v>
      </c>
    </row>
    <row r="28" spans="1:4" x14ac:dyDescent="0.25">
      <c r="A28" t="s">
        <v>303</v>
      </c>
      <c r="B28" t="s">
        <v>366</v>
      </c>
      <c r="C28" t="s">
        <v>367</v>
      </c>
      <c r="D28" s="93">
        <v>44209</v>
      </c>
    </row>
    <row r="29" spans="1:4" x14ac:dyDescent="0.25">
      <c r="A29" t="s">
        <v>303</v>
      </c>
      <c r="B29" t="s">
        <v>368</v>
      </c>
      <c r="C29" t="s">
        <v>369</v>
      </c>
      <c r="D29" s="93">
        <v>44209</v>
      </c>
    </row>
    <row r="30" spans="1:4" x14ac:dyDescent="0.25">
      <c r="A30" t="s">
        <v>273</v>
      </c>
      <c r="B30" t="s">
        <v>408</v>
      </c>
      <c r="C30" t="s">
        <v>409</v>
      </c>
      <c r="D30" s="93">
        <v>44209</v>
      </c>
    </row>
    <row r="31" spans="1:4" x14ac:dyDescent="0.25">
      <c r="A31" t="s">
        <v>310</v>
      </c>
      <c r="B31" t="s">
        <v>364</v>
      </c>
      <c r="C31" t="s">
        <v>365</v>
      </c>
      <c r="D31" s="93">
        <v>44210</v>
      </c>
    </row>
    <row r="32" spans="1:4" x14ac:dyDescent="0.25">
      <c r="A32" t="s">
        <v>273</v>
      </c>
      <c r="B32" t="s">
        <v>410</v>
      </c>
      <c r="C32" t="s">
        <v>411</v>
      </c>
      <c r="D32" s="93">
        <v>44209</v>
      </c>
    </row>
    <row r="33" spans="1:4" x14ac:dyDescent="0.25">
      <c r="A33" t="s">
        <v>310</v>
      </c>
      <c r="B33" t="s">
        <v>362</v>
      </c>
      <c r="C33" t="s">
        <v>363</v>
      </c>
      <c r="D33" s="93">
        <v>44209</v>
      </c>
    </row>
    <row r="34" spans="1:4" x14ac:dyDescent="0.25">
      <c r="A34" t="s">
        <v>273</v>
      </c>
      <c r="B34" t="s">
        <v>404</v>
      </c>
      <c r="C34" t="s">
        <v>405</v>
      </c>
      <c r="D34" s="93">
        <v>44209</v>
      </c>
    </row>
    <row r="35" spans="1:4" x14ac:dyDescent="0.25">
      <c r="A35" t="s">
        <v>298</v>
      </c>
      <c r="B35" t="s">
        <v>358</v>
      </c>
      <c r="C35" t="s">
        <v>359</v>
      </c>
      <c r="D35" s="93">
        <v>44209</v>
      </c>
    </row>
    <row r="36" spans="1:4" x14ac:dyDescent="0.25">
      <c r="A36" t="s">
        <v>321</v>
      </c>
      <c r="B36" t="s">
        <v>412</v>
      </c>
      <c r="C36" t="s">
        <v>413</v>
      </c>
      <c r="D36" s="93">
        <v>44210</v>
      </c>
    </row>
    <row r="37" spans="1:4" x14ac:dyDescent="0.25">
      <c r="A37" t="s">
        <v>302</v>
      </c>
      <c r="B37" t="s">
        <v>379</v>
      </c>
      <c r="C37" t="s">
        <v>380</v>
      </c>
      <c r="D37" s="93">
        <v>44209</v>
      </c>
    </row>
    <row r="38" spans="1:4" x14ac:dyDescent="0.25">
      <c r="A38" t="s">
        <v>286</v>
      </c>
      <c r="B38" t="s">
        <v>207</v>
      </c>
      <c r="C38" t="s">
        <v>416</v>
      </c>
      <c r="D38" s="93">
        <v>44209</v>
      </c>
    </row>
    <row r="39" spans="1:4" x14ac:dyDescent="0.25">
      <c r="A39" t="s">
        <v>292</v>
      </c>
      <c r="B39" t="s">
        <v>352</v>
      </c>
      <c r="C39" t="s">
        <v>353</v>
      </c>
      <c r="D39" s="93">
        <v>44209</v>
      </c>
    </row>
    <row r="40" spans="1:4" x14ac:dyDescent="0.25">
      <c r="A40" t="s">
        <v>286</v>
      </c>
      <c r="B40" t="s">
        <v>352</v>
      </c>
      <c r="C40" t="s">
        <v>353</v>
      </c>
      <c r="D40" s="93">
        <v>44209</v>
      </c>
    </row>
    <row r="41" spans="1:4" x14ac:dyDescent="0.25">
      <c r="A41" t="s">
        <v>292</v>
      </c>
      <c r="B41" t="s">
        <v>350</v>
      </c>
      <c r="C41" t="s">
        <v>351</v>
      </c>
      <c r="D41" s="93">
        <v>44209</v>
      </c>
    </row>
    <row r="42" spans="1:4" x14ac:dyDescent="0.25">
      <c r="A42" t="s">
        <v>302</v>
      </c>
      <c r="B42" t="s">
        <v>377</v>
      </c>
      <c r="C42" t="s">
        <v>378</v>
      </c>
      <c r="D42" s="93">
        <v>44210</v>
      </c>
    </row>
    <row r="43" spans="1:4" x14ac:dyDescent="0.25">
      <c r="A43" t="s">
        <v>313</v>
      </c>
      <c r="B43" t="s">
        <v>339</v>
      </c>
      <c r="C43" t="s">
        <v>340</v>
      </c>
      <c r="D43" s="93">
        <v>44210</v>
      </c>
    </row>
    <row r="44" spans="1:4" x14ac:dyDescent="0.25">
      <c r="A44" t="s">
        <v>305</v>
      </c>
      <c r="B44" t="s">
        <v>387</v>
      </c>
      <c r="C44" t="s">
        <v>388</v>
      </c>
      <c r="D44" s="93">
        <v>44210</v>
      </c>
    </row>
    <row r="45" spans="1:4" x14ac:dyDescent="0.25">
      <c r="A45" t="s">
        <v>299</v>
      </c>
      <c r="B45" t="s">
        <v>390</v>
      </c>
      <c r="C45" t="s">
        <v>391</v>
      </c>
      <c r="D45" s="93">
        <v>44209</v>
      </c>
    </row>
    <row r="46" spans="1:4" x14ac:dyDescent="0.25">
      <c r="A46" t="s">
        <v>299</v>
      </c>
      <c r="B46" t="s">
        <v>390</v>
      </c>
      <c r="C46" t="s">
        <v>391</v>
      </c>
      <c r="D46" s="93">
        <v>44210</v>
      </c>
    </row>
    <row r="47" spans="1:4" x14ac:dyDescent="0.25">
      <c r="A47" t="s">
        <v>286</v>
      </c>
      <c r="B47" t="s">
        <v>356</v>
      </c>
      <c r="C47" t="s">
        <v>357</v>
      </c>
      <c r="D47" s="93">
        <v>44209</v>
      </c>
    </row>
    <row r="48" spans="1:4" x14ac:dyDescent="0.25">
      <c r="A48" t="s">
        <v>292</v>
      </c>
      <c r="B48" t="s">
        <v>356</v>
      </c>
      <c r="C48" t="s">
        <v>357</v>
      </c>
      <c r="D48" s="93">
        <v>44209</v>
      </c>
    </row>
    <row r="49" spans="1:4" x14ac:dyDescent="0.25">
      <c r="A49" t="s">
        <v>321</v>
      </c>
      <c r="B49" t="s">
        <v>356</v>
      </c>
      <c r="C49" t="s">
        <v>357</v>
      </c>
      <c r="D49" s="93">
        <v>44209</v>
      </c>
    </row>
    <row r="50" spans="1:4" x14ac:dyDescent="0.25">
      <c r="A50" t="s">
        <v>321</v>
      </c>
      <c r="B50" t="s">
        <v>414</v>
      </c>
      <c r="C50" t="s">
        <v>415</v>
      </c>
      <c r="D50" s="93">
        <v>44209</v>
      </c>
    </row>
    <row r="51" spans="1:4" x14ac:dyDescent="0.25">
      <c r="A51" t="s">
        <v>321</v>
      </c>
      <c r="B51" t="s">
        <v>414</v>
      </c>
      <c r="C51" t="s">
        <v>415</v>
      </c>
      <c r="D51" s="93">
        <v>44209</v>
      </c>
    </row>
    <row r="52" spans="1:4" x14ac:dyDescent="0.25">
      <c r="A52" t="s">
        <v>321</v>
      </c>
      <c r="B52" t="s">
        <v>414</v>
      </c>
      <c r="C52" t="s">
        <v>415</v>
      </c>
      <c r="D52" s="93">
        <v>44209</v>
      </c>
    </row>
    <row r="53" spans="1:4" x14ac:dyDescent="0.25">
      <c r="A53" t="s">
        <v>308</v>
      </c>
      <c r="B53" t="s">
        <v>398</v>
      </c>
      <c r="C53" t="s">
        <v>399</v>
      </c>
      <c r="D53" s="93">
        <v>44209</v>
      </c>
    </row>
    <row r="54" spans="1:4" x14ac:dyDescent="0.25">
      <c r="A54" t="s">
        <v>284</v>
      </c>
      <c r="B54" t="s">
        <v>398</v>
      </c>
      <c r="C54" t="s">
        <v>399</v>
      </c>
      <c r="D54" s="93">
        <v>44209</v>
      </c>
    </row>
    <row r="55" spans="1:4" x14ac:dyDescent="0.25">
      <c r="A55" t="s">
        <v>308</v>
      </c>
      <c r="B55" t="s">
        <v>398</v>
      </c>
      <c r="C55" t="s">
        <v>399</v>
      </c>
      <c r="D55" s="93">
        <v>44214</v>
      </c>
    </row>
    <row r="56" spans="1:4" x14ac:dyDescent="0.25">
      <c r="A56" t="s">
        <v>304</v>
      </c>
      <c r="B56" t="s">
        <v>342</v>
      </c>
      <c r="C56" t="s">
        <v>343</v>
      </c>
      <c r="D56" s="93">
        <v>44209</v>
      </c>
    </row>
    <row r="57" spans="1:4" x14ac:dyDescent="0.25">
      <c r="A57" t="s">
        <v>305</v>
      </c>
      <c r="B57" t="s">
        <v>342</v>
      </c>
      <c r="C57" t="s">
        <v>343</v>
      </c>
      <c r="D57" s="93">
        <v>44209</v>
      </c>
    </row>
    <row r="58" spans="1:4" x14ac:dyDescent="0.25">
      <c r="A58" t="s">
        <v>290</v>
      </c>
      <c r="B58" t="s">
        <v>392</v>
      </c>
      <c r="C58" t="s">
        <v>393</v>
      </c>
      <c r="D58" s="93">
        <v>44209</v>
      </c>
    </row>
    <row r="59" spans="1:4" x14ac:dyDescent="0.25">
      <c r="A59" t="s">
        <v>266</v>
      </c>
      <c r="B59" t="s">
        <v>392</v>
      </c>
      <c r="C59" t="s">
        <v>393</v>
      </c>
      <c r="D59" s="93">
        <v>44209</v>
      </c>
    </row>
    <row r="60" spans="1:4" x14ac:dyDescent="0.25">
      <c r="A60" t="s">
        <v>292</v>
      </c>
      <c r="B60" t="s">
        <v>354</v>
      </c>
      <c r="C60" t="s">
        <v>355</v>
      </c>
      <c r="D60" s="93">
        <v>44209</v>
      </c>
    </row>
    <row r="61" spans="1:4" x14ac:dyDescent="0.25">
      <c r="A61" t="s">
        <v>292</v>
      </c>
      <c r="B61" t="s">
        <v>354</v>
      </c>
      <c r="C61" t="s">
        <v>355</v>
      </c>
      <c r="D61" s="93">
        <v>44209</v>
      </c>
    </row>
    <row r="62" spans="1:4" x14ac:dyDescent="0.25">
      <c r="A62" t="s">
        <v>266</v>
      </c>
      <c r="B62" t="s">
        <v>400</v>
      </c>
      <c r="C62" t="s">
        <v>401</v>
      </c>
      <c r="D62" s="93">
        <v>44209</v>
      </c>
    </row>
    <row r="63" spans="1:4" x14ac:dyDescent="0.25">
      <c r="A63" t="s">
        <v>305</v>
      </c>
      <c r="B63" t="s">
        <v>385</v>
      </c>
      <c r="C63" t="s">
        <v>386</v>
      </c>
      <c r="D63" s="93">
        <v>44209</v>
      </c>
    </row>
    <row r="64" spans="1:4" x14ac:dyDescent="0.25">
      <c r="A64" t="s">
        <v>305</v>
      </c>
      <c r="B64" t="s">
        <v>348</v>
      </c>
      <c r="C64" t="s">
        <v>349</v>
      </c>
      <c r="D64" s="93">
        <v>44209</v>
      </c>
    </row>
    <row r="65" spans="1:4" x14ac:dyDescent="0.25">
      <c r="A65" t="s">
        <v>290</v>
      </c>
      <c r="B65" t="s">
        <v>394</v>
      </c>
      <c r="C65" t="s">
        <v>395</v>
      </c>
      <c r="D65" s="93">
        <v>44209</v>
      </c>
    </row>
    <row r="66" spans="1:4" x14ac:dyDescent="0.25">
      <c r="A66" t="s">
        <v>309</v>
      </c>
      <c r="B66" t="s">
        <v>348</v>
      </c>
      <c r="C66" t="s">
        <v>349</v>
      </c>
      <c r="D66" s="93">
        <v>44209</v>
      </c>
    </row>
    <row r="67" spans="1:4" x14ac:dyDescent="0.25">
      <c r="A67" t="s">
        <v>304</v>
      </c>
      <c r="B67" t="s">
        <v>344</v>
      </c>
      <c r="C67" t="s">
        <v>345</v>
      </c>
      <c r="D67" s="93">
        <v>44209</v>
      </c>
    </row>
    <row r="68" spans="1:4" x14ac:dyDescent="0.25">
      <c r="A68" t="s">
        <v>290</v>
      </c>
      <c r="B68" t="s">
        <v>344</v>
      </c>
      <c r="C68" t="s">
        <v>345</v>
      </c>
      <c r="D68" s="93">
        <v>44209</v>
      </c>
    </row>
    <row r="69" spans="1:4" x14ac:dyDescent="0.25">
      <c r="A69" t="s">
        <v>290</v>
      </c>
      <c r="B69" t="s">
        <v>396</v>
      </c>
      <c r="C69" t="s">
        <v>397</v>
      </c>
      <c r="D69" s="93">
        <v>44209</v>
      </c>
    </row>
    <row r="70" spans="1:4" x14ac:dyDescent="0.25">
      <c r="A70" t="s">
        <v>266</v>
      </c>
      <c r="B70" t="s">
        <v>402</v>
      </c>
      <c r="C70" t="s">
        <v>403</v>
      </c>
      <c r="D70" s="93">
        <v>44209</v>
      </c>
    </row>
    <row r="71" spans="1:4" x14ac:dyDescent="0.25">
      <c r="D71" s="93"/>
    </row>
    <row r="72" spans="1:4" x14ac:dyDescent="0.25">
      <c r="D72" s="93"/>
    </row>
    <row r="73" spans="1:4" x14ac:dyDescent="0.25">
      <c r="D73" s="93"/>
    </row>
    <row r="74" spans="1:4" x14ac:dyDescent="0.25">
      <c r="D74" s="93"/>
    </row>
    <row r="75" spans="1:4" x14ac:dyDescent="0.25">
      <c r="D75" s="93"/>
    </row>
  </sheetData>
  <sheetProtection algorithmName="SHA-512" hashValue="4ZTKQLHNROWH/jbcq50LRRe5LZ+BXPcrZYoVal+RqRgBQfaG6nuNR17FHi/BOFUJzgxzr9FhPuiCE4HsBcMTVw==" saltValue="GPiBsTzuKEEWIkDKhZBedA==" spinCount="100000" sheet="1" objects="1" scenarios="1"/>
  <mergeCells count="1">
    <mergeCell ref="A2:D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19F57-34F0-43E3-A2FA-EDE92551DA9A}">
  <sheetPr codeName="Sheet21"/>
  <dimension ref="A1:K74"/>
  <sheetViews>
    <sheetView workbookViewId="0">
      <selection activeCell="K8" sqref="K8:K17"/>
    </sheetView>
  </sheetViews>
  <sheetFormatPr defaultRowHeight="15" x14ac:dyDescent="0.25"/>
  <cols>
    <col min="1" max="1" width="24.28515625" customWidth="1"/>
    <col min="3" max="4" width="10.28515625" bestFit="1" customWidth="1"/>
  </cols>
  <sheetData>
    <row r="1" spans="1:11" x14ac:dyDescent="0.25">
      <c r="A1" t="s">
        <v>178</v>
      </c>
      <c r="D1">
        <v>10</v>
      </c>
    </row>
    <row r="2" spans="1:11" x14ac:dyDescent="0.25">
      <c r="A2" cm="1">
        <f t="array" ref="A2">gradeGenericQuestionRange("Text",A4:D74,D1,Question7!A5:D75)</f>
        <v>0.59859156608581543</v>
      </c>
    </row>
    <row r="4" spans="1:11" x14ac:dyDescent="0.25">
      <c r="A4" t="s">
        <v>329</v>
      </c>
      <c r="B4" t="s">
        <v>185</v>
      </c>
      <c r="C4" t="s">
        <v>330</v>
      </c>
      <c r="D4" t="s">
        <v>173</v>
      </c>
    </row>
    <row r="5" spans="1:11" x14ac:dyDescent="0.25">
      <c r="A5" t="s">
        <v>276</v>
      </c>
      <c r="B5" t="s">
        <v>331</v>
      </c>
      <c r="C5" s="93" t="s">
        <v>332</v>
      </c>
      <c r="D5" s="93">
        <v>41652</v>
      </c>
    </row>
    <row r="6" spans="1:11" ht="26.25" x14ac:dyDescent="0.25">
      <c r="A6" t="s">
        <v>276</v>
      </c>
      <c r="B6" t="s">
        <v>333</v>
      </c>
      <c r="C6" s="93" t="s">
        <v>334</v>
      </c>
      <c r="D6" s="93">
        <v>41652</v>
      </c>
      <c r="K6" s="141" t="s">
        <v>447</v>
      </c>
    </row>
    <row r="7" spans="1:11" ht="26.25" x14ac:dyDescent="0.25">
      <c r="A7" t="s">
        <v>276</v>
      </c>
      <c r="B7" t="s">
        <v>335</v>
      </c>
      <c r="C7" s="93" t="s">
        <v>336</v>
      </c>
      <c r="D7" s="93">
        <v>41652</v>
      </c>
      <c r="K7" s="141" t="s">
        <v>448</v>
      </c>
    </row>
    <row r="8" spans="1:11" ht="26.25" x14ac:dyDescent="0.25">
      <c r="A8" t="s">
        <v>276</v>
      </c>
      <c r="B8" t="s">
        <v>337</v>
      </c>
      <c r="C8" s="93" t="s">
        <v>338</v>
      </c>
      <c r="D8" s="93">
        <v>41652</v>
      </c>
      <c r="K8" s="141" t="s">
        <v>449</v>
      </c>
    </row>
    <row r="9" spans="1:11" ht="26.25" x14ac:dyDescent="0.25">
      <c r="A9" t="s">
        <v>313</v>
      </c>
      <c r="B9" t="s">
        <v>339</v>
      </c>
      <c r="C9" t="s">
        <v>340</v>
      </c>
      <c r="D9" s="93">
        <v>41653</v>
      </c>
      <c r="K9" s="142" t="s">
        <v>450</v>
      </c>
    </row>
    <row r="10" spans="1:11" ht="26.25" x14ac:dyDescent="0.25">
      <c r="A10" t="s">
        <v>313</v>
      </c>
      <c r="B10" t="s">
        <v>187</v>
      </c>
      <c r="C10" t="s">
        <v>341</v>
      </c>
      <c r="D10" s="93">
        <v>41652</v>
      </c>
      <c r="K10" s="141" t="s">
        <v>451</v>
      </c>
    </row>
    <row r="11" spans="1:11" ht="26.25" x14ac:dyDescent="0.25">
      <c r="A11" t="s">
        <v>313</v>
      </c>
      <c r="B11" t="s">
        <v>187</v>
      </c>
      <c r="C11" t="s">
        <v>341</v>
      </c>
      <c r="D11" s="93">
        <v>41652</v>
      </c>
      <c r="K11" s="142" t="s">
        <v>452</v>
      </c>
    </row>
    <row r="12" spans="1:11" ht="26.25" x14ac:dyDescent="0.25">
      <c r="A12" t="s">
        <v>304</v>
      </c>
      <c r="B12" t="s">
        <v>342</v>
      </c>
      <c r="C12" t="s">
        <v>343</v>
      </c>
      <c r="D12" s="93">
        <v>41652</v>
      </c>
      <c r="K12" s="141" t="s">
        <v>453</v>
      </c>
    </row>
    <row r="13" spans="1:11" ht="26.25" x14ac:dyDescent="0.25">
      <c r="A13" t="s">
        <v>304</v>
      </c>
      <c r="B13" t="s">
        <v>344</v>
      </c>
      <c r="C13" t="s">
        <v>345</v>
      </c>
      <c r="D13" s="93">
        <v>41652</v>
      </c>
      <c r="K13" s="142" t="s">
        <v>454</v>
      </c>
    </row>
    <row r="14" spans="1:11" ht="26.25" x14ac:dyDescent="0.25">
      <c r="A14" t="s">
        <v>309</v>
      </c>
      <c r="B14" t="s">
        <v>346</v>
      </c>
      <c r="C14" t="s">
        <v>347</v>
      </c>
      <c r="D14" s="93">
        <v>41653</v>
      </c>
      <c r="K14" s="141" t="s">
        <v>455</v>
      </c>
    </row>
    <row r="15" spans="1:11" ht="26.25" x14ac:dyDescent="0.25">
      <c r="A15" t="s">
        <v>309</v>
      </c>
      <c r="B15" t="s">
        <v>348</v>
      </c>
      <c r="C15" t="s">
        <v>349</v>
      </c>
      <c r="D15" s="93">
        <v>41652</v>
      </c>
      <c r="K15" s="142" t="s">
        <v>456</v>
      </c>
    </row>
    <row r="16" spans="1:11" ht="26.25" x14ac:dyDescent="0.25">
      <c r="A16" t="s">
        <v>292</v>
      </c>
      <c r="B16" t="s">
        <v>350</v>
      </c>
      <c r="C16" t="s">
        <v>351</v>
      </c>
      <c r="D16" s="93">
        <v>41652</v>
      </c>
      <c r="K16" s="141" t="s">
        <v>457</v>
      </c>
    </row>
    <row r="17" spans="1:11" ht="26.25" x14ac:dyDescent="0.25">
      <c r="A17" t="s">
        <v>292</v>
      </c>
      <c r="B17" t="s">
        <v>352</v>
      </c>
      <c r="C17" t="s">
        <v>353</v>
      </c>
      <c r="D17" s="93">
        <v>41652</v>
      </c>
      <c r="K17" s="141" t="s">
        <v>458</v>
      </c>
    </row>
    <row r="18" spans="1:11" x14ac:dyDescent="0.25">
      <c r="A18" t="s">
        <v>292</v>
      </c>
      <c r="B18" t="s">
        <v>354</v>
      </c>
      <c r="C18" t="s">
        <v>355</v>
      </c>
      <c r="D18" s="93">
        <v>41652</v>
      </c>
    </row>
    <row r="19" spans="1:11" x14ac:dyDescent="0.25">
      <c r="A19" t="s">
        <v>292</v>
      </c>
      <c r="B19" t="s">
        <v>354</v>
      </c>
      <c r="C19" t="s">
        <v>355</v>
      </c>
      <c r="D19" s="93">
        <v>41652</v>
      </c>
    </row>
    <row r="20" spans="1:11" x14ac:dyDescent="0.25">
      <c r="A20" t="s">
        <v>292</v>
      </c>
      <c r="B20" t="s">
        <v>356</v>
      </c>
      <c r="C20" t="s">
        <v>357</v>
      </c>
      <c r="D20" s="93">
        <v>41652</v>
      </c>
    </row>
    <row r="21" spans="1:11" x14ac:dyDescent="0.25">
      <c r="A21" t="s">
        <v>314</v>
      </c>
      <c r="B21" t="s">
        <v>175</v>
      </c>
      <c r="C21" t="s">
        <v>175</v>
      </c>
      <c r="D21" s="93" t="s">
        <v>175</v>
      </c>
    </row>
    <row r="22" spans="1:11" x14ac:dyDescent="0.25">
      <c r="A22" t="s">
        <v>298</v>
      </c>
      <c r="B22" t="s">
        <v>358</v>
      </c>
      <c r="C22" t="s">
        <v>359</v>
      </c>
      <c r="D22" s="93">
        <v>41652</v>
      </c>
    </row>
    <row r="23" spans="1:11" x14ac:dyDescent="0.25">
      <c r="A23" t="s">
        <v>298</v>
      </c>
      <c r="B23" t="s">
        <v>360</v>
      </c>
      <c r="C23" t="s">
        <v>361</v>
      </c>
      <c r="D23" s="93">
        <v>41653</v>
      </c>
    </row>
    <row r="24" spans="1:11" x14ac:dyDescent="0.25">
      <c r="A24" t="s">
        <v>310</v>
      </c>
      <c r="B24" t="s">
        <v>362</v>
      </c>
      <c r="C24" t="s">
        <v>363</v>
      </c>
      <c r="D24" s="93">
        <v>41652</v>
      </c>
    </row>
    <row r="25" spans="1:11" x14ac:dyDescent="0.25">
      <c r="A25" t="s">
        <v>310</v>
      </c>
      <c r="B25" t="s">
        <v>364</v>
      </c>
      <c r="C25" t="s">
        <v>365</v>
      </c>
      <c r="D25" s="93">
        <v>41653</v>
      </c>
    </row>
    <row r="26" spans="1:11" x14ac:dyDescent="0.25">
      <c r="A26" t="s">
        <v>303</v>
      </c>
      <c r="B26" t="s">
        <v>360</v>
      </c>
      <c r="C26" t="s">
        <v>361</v>
      </c>
      <c r="D26" s="93">
        <v>41652</v>
      </c>
    </row>
    <row r="27" spans="1:11" x14ac:dyDescent="0.25">
      <c r="A27" t="s">
        <v>303</v>
      </c>
      <c r="B27" t="s">
        <v>366</v>
      </c>
      <c r="C27" t="s">
        <v>367</v>
      </c>
      <c r="D27" s="93">
        <v>41652</v>
      </c>
    </row>
    <row r="28" spans="1:11" x14ac:dyDescent="0.25">
      <c r="A28" t="s">
        <v>303</v>
      </c>
      <c r="B28" t="s">
        <v>368</v>
      </c>
      <c r="C28" t="s">
        <v>369</v>
      </c>
      <c r="D28" s="93">
        <v>41652</v>
      </c>
    </row>
    <row r="29" spans="1:11" x14ac:dyDescent="0.25">
      <c r="A29" t="s">
        <v>325</v>
      </c>
      <c r="B29" t="s">
        <v>370</v>
      </c>
      <c r="C29" t="s">
        <v>371</v>
      </c>
      <c r="D29" s="93">
        <v>41653</v>
      </c>
    </row>
    <row r="30" spans="1:11" x14ac:dyDescent="0.25">
      <c r="A30" t="s">
        <v>325</v>
      </c>
      <c r="B30" t="s">
        <v>189</v>
      </c>
      <c r="C30" t="s">
        <v>372</v>
      </c>
      <c r="D30" s="93">
        <v>41652</v>
      </c>
    </row>
    <row r="31" spans="1:11" x14ac:dyDescent="0.25">
      <c r="A31" t="s">
        <v>325</v>
      </c>
      <c r="B31" t="s">
        <v>373</v>
      </c>
      <c r="C31" t="s">
        <v>374</v>
      </c>
      <c r="D31" s="93">
        <v>41652</v>
      </c>
    </row>
    <row r="32" spans="1:11" x14ac:dyDescent="0.25">
      <c r="A32" t="s">
        <v>325</v>
      </c>
      <c r="B32" t="s">
        <v>375</v>
      </c>
      <c r="C32" t="s">
        <v>376</v>
      </c>
      <c r="D32" s="93">
        <v>41653</v>
      </c>
    </row>
    <row r="33" spans="1:4" x14ac:dyDescent="0.25">
      <c r="A33" t="s">
        <v>302</v>
      </c>
      <c r="B33" t="s">
        <v>377</v>
      </c>
      <c r="C33" t="s">
        <v>378</v>
      </c>
      <c r="D33" s="93">
        <v>41653</v>
      </c>
    </row>
    <row r="34" spans="1:4" x14ac:dyDescent="0.25">
      <c r="A34" t="s">
        <v>302</v>
      </c>
      <c r="B34" t="s">
        <v>379</v>
      </c>
      <c r="C34" t="s">
        <v>380</v>
      </c>
      <c r="D34" s="93">
        <v>41652</v>
      </c>
    </row>
    <row r="35" spans="1:4" x14ac:dyDescent="0.25">
      <c r="A35" t="s">
        <v>324</v>
      </c>
      <c r="B35" t="s">
        <v>381</v>
      </c>
      <c r="C35" t="s">
        <v>382</v>
      </c>
      <c r="D35" s="93">
        <v>41652</v>
      </c>
    </row>
    <row r="36" spans="1:4" x14ac:dyDescent="0.25">
      <c r="A36" t="s">
        <v>305</v>
      </c>
      <c r="B36" t="s">
        <v>383</v>
      </c>
      <c r="C36" t="s">
        <v>384</v>
      </c>
      <c r="D36" s="93">
        <v>41653</v>
      </c>
    </row>
    <row r="37" spans="1:4" x14ac:dyDescent="0.25">
      <c r="A37" t="s">
        <v>305</v>
      </c>
      <c r="B37" t="s">
        <v>342</v>
      </c>
      <c r="C37" t="s">
        <v>343</v>
      </c>
      <c r="D37" s="93">
        <v>41652</v>
      </c>
    </row>
    <row r="38" spans="1:4" x14ac:dyDescent="0.25">
      <c r="A38" t="s">
        <v>305</v>
      </c>
      <c r="B38" t="s">
        <v>385</v>
      </c>
      <c r="C38" t="s">
        <v>386</v>
      </c>
      <c r="D38" s="93">
        <v>41652</v>
      </c>
    </row>
    <row r="39" spans="1:4" x14ac:dyDescent="0.25">
      <c r="A39" t="s">
        <v>305</v>
      </c>
      <c r="B39" t="s">
        <v>348</v>
      </c>
      <c r="C39" t="s">
        <v>349</v>
      </c>
      <c r="D39" s="93">
        <v>41652</v>
      </c>
    </row>
    <row r="40" spans="1:4" x14ac:dyDescent="0.25">
      <c r="A40" t="s">
        <v>305</v>
      </c>
      <c r="B40" t="s">
        <v>387</v>
      </c>
      <c r="C40" t="s">
        <v>388</v>
      </c>
      <c r="D40" s="93">
        <v>41653</v>
      </c>
    </row>
    <row r="41" spans="1:4" x14ac:dyDescent="0.25">
      <c r="A41" t="s">
        <v>299</v>
      </c>
      <c r="B41" t="s">
        <v>188</v>
      </c>
      <c r="C41" t="s">
        <v>389</v>
      </c>
      <c r="D41" s="93">
        <v>41652</v>
      </c>
    </row>
    <row r="42" spans="1:4" x14ac:dyDescent="0.25">
      <c r="A42" t="s">
        <v>299</v>
      </c>
      <c r="B42" t="s">
        <v>188</v>
      </c>
      <c r="C42" t="s">
        <v>389</v>
      </c>
      <c r="D42" s="93">
        <v>41652</v>
      </c>
    </row>
    <row r="43" spans="1:4" x14ac:dyDescent="0.25">
      <c r="A43" t="s">
        <v>299</v>
      </c>
      <c r="B43" t="s">
        <v>390</v>
      </c>
      <c r="C43" t="s">
        <v>391</v>
      </c>
      <c r="D43" s="93">
        <v>41652</v>
      </c>
    </row>
    <row r="44" spans="1:4" x14ac:dyDescent="0.25">
      <c r="A44" t="s">
        <v>299</v>
      </c>
      <c r="B44" t="s">
        <v>390</v>
      </c>
      <c r="C44" t="s">
        <v>391</v>
      </c>
      <c r="D44" s="93">
        <v>41653</v>
      </c>
    </row>
    <row r="45" spans="1:4" x14ac:dyDescent="0.25">
      <c r="A45" t="s">
        <v>316</v>
      </c>
      <c r="B45" t="s">
        <v>175</v>
      </c>
      <c r="C45" t="s">
        <v>175</v>
      </c>
      <c r="D45" s="93" t="s">
        <v>175</v>
      </c>
    </row>
    <row r="46" spans="1:4" x14ac:dyDescent="0.25">
      <c r="A46" t="s">
        <v>283</v>
      </c>
      <c r="B46" t="s">
        <v>187</v>
      </c>
      <c r="C46" t="s">
        <v>341</v>
      </c>
      <c r="D46" s="93">
        <v>41652</v>
      </c>
    </row>
    <row r="47" spans="1:4" x14ac:dyDescent="0.25">
      <c r="A47" t="s">
        <v>290</v>
      </c>
      <c r="B47" t="s">
        <v>392</v>
      </c>
      <c r="C47" t="s">
        <v>393</v>
      </c>
      <c r="D47" s="93">
        <v>41652</v>
      </c>
    </row>
    <row r="48" spans="1:4" x14ac:dyDescent="0.25">
      <c r="A48" t="s">
        <v>290</v>
      </c>
      <c r="B48" t="s">
        <v>394</v>
      </c>
      <c r="C48" t="s">
        <v>395</v>
      </c>
      <c r="D48" s="93">
        <v>41652</v>
      </c>
    </row>
    <row r="49" spans="1:4" x14ac:dyDescent="0.25">
      <c r="A49" t="s">
        <v>290</v>
      </c>
      <c r="B49" t="s">
        <v>344</v>
      </c>
      <c r="C49" t="s">
        <v>345</v>
      </c>
      <c r="D49" s="93">
        <v>41652</v>
      </c>
    </row>
    <row r="50" spans="1:4" x14ac:dyDescent="0.25">
      <c r="A50" t="s">
        <v>290</v>
      </c>
      <c r="B50" t="s">
        <v>396</v>
      </c>
      <c r="C50" t="s">
        <v>397</v>
      </c>
      <c r="D50" s="93">
        <v>41652</v>
      </c>
    </row>
    <row r="51" spans="1:4" x14ac:dyDescent="0.25">
      <c r="A51" t="s">
        <v>322</v>
      </c>
      <c r="B51" t="s">
        <v>175</v>
      </c>
      <c r="C51" t="s">
        <v>175</v>
      </c>
      <c r="D51" s="93" t="s">
        <v>175</v>
      </c>
    </row>
    <row r="52" spans="1:4" x14ac:dyDescent="0.25">
      <c r="A52" t="s">
        <v>284</v>
      </c>
      <c r="B52" t="s">
        <v>381</v>
      </c>
      <c r="C52" t="s">
        <v>382</v>
      </c>
      <c r="D52" s="93">
        <v>41652</v>
      </c>
    </row>
    <row r="53" spans="1:4" x14ac:dyDescent="0.25">
      <c r="A53" t="s">
        <v>284</v>
      </c>
      <c r="B53" t="s">
        <v>398</v>
      </c>
      <c r="C53" t="s">
        <v>399</v>
      </c>
      <c r="D53" s="93">
        <v>41652</v>
      </c>
    </row>
    <row r="54" spans="1:4" x14ac:dyDescent="0.25">
      <c r="A54" t="s">
        <v>266</v>
      </c>
      <c r="B54" t="s">
        <v>392</v>
      </c>
      <c r="C54" t="s">
        <v>393</v>
      </c>
      <c r="D54" s="93">
        <v>41652</v>
      </c>
    </row>
    <row r="55" spans="1:4" x14ac:dyDescent="0.25">
      <c r="A55" t="s">
        <v>266</v>
      </c>
      <c r="B55" t="s">
        <v>400</v>
      </c>
      <c r="C55" t="s">
        <v>401</v>
      </c>
      <c r="D55" s="93">
        <v>41652</v>
      </c>
    </row>
    <row r="56" spans="1:4" x14ac:dyDescent="0.25">
      <c r="A56" t="s">
        <v>266</v>
      </c>
      <c r="B56" t="s">
        <v>402</v>
      </c>
      <c r="C56" t="s">
        <v>403</v>
      </c>
      <c r="D56" s="93">
        <v>41652</v>
      </c>
    </row>
    <row r="57" spans="1:4" x14ac:dyDescent="0.25">
      <c r="A57" t="s">
        <v>269</v>
      </c>
      <c r="B57" t="s">
        <v>175</v>
      </c>
      <c r="C57" t="s">
        <v>175</v>
      </c>
      <c r="D57" s="93" t="s">
        <v>175</v>
      </c>
    </row>
    <row r="58" spans="1:4" x14ac:dyDescent="0.25">
      <c r="A58" t="s">
        <v>319</v>
      </c>
      <c r="B58" t="s">
        <v>175</v>
      </c>
      <c r="C58" t="s">
        <v>175</v>
      </c>
      <c r="D58" s="93" t="s">
        <v>175</v>
      </c>
    </row>
    <row r="59" spans="1:4" x14ac:dyDescent="0.25">
      <c r="A59" t="s">
        <v>273</v>
      </c>
      <c r="B59" t="s">
        <v>404</v>
      </c>
      <c r="C59" t="s">
        <v>405</v>
      </c>
      <c r="D59" s="93">
        <v>41652</v>
      </c>
    </row>
    <row r="60" spans="1:4" x14ac:dyDescent="0.25">
      <c r="A60" t="s">
        <v>273</v>
      </c>
      <c r="B60" t="s">
        <v>406</v>
      </c>
      <c r="C60" t="s">
        <v>407</v>
      </c>
      <c r="D60" s="93">
        <v>41652</v>
      </c>
    </row>
    <row r="61" spans="1:4" x14ac:dyDescent="0.25">
      <c r="A61" t="s">
        <v>273</v>
      </c>
      <c r="B61" t="s">
        <v>408</v>
      </c>
      <c r="C61" t="s">
        <v>409</v>
      </c>
      <c r="D61" s="93">
        <v>41652</v>
      </c>
    </row>
    <row r="62" spans="1:4" x14ac:dyDescent="0.25">
      <c r="A62" t="s">
        <v>273</v>
      </c>
      <c r="B62" t="s">
        <v>410</v>
      </c>
      <c r="C62" t="s">
        <v>411</v>
      </c>
      <c r="D62" s="93">
        <v>41652</v>
      </c>
    </row>
    <row r="63" spans="1:4" x14ac:dyDescent="0.25">
      <c r="A63" t="s">
        <v>308</v>
      </c>
      <c r="B63" t="s">
        <v>398</v>
      </c>
      <c r="C63" t="s">
        <v>399</v>
      </c>
      <c r="D63" s="93">
        <v>41652</v>
      </c>
    </row>
    <row r="64" spans="1:4" x14ac:dyDescent="0.25">
      <c r="A64" t="s">
        <v>308</v>
      </c>
      <c r="B64" t="s">
        <v>398</v>
      </c>
      <c r="C64" t="s">
        <v>399</v>
      </c>
      <c r="D64" s="93">
        <v>41657</v>
      </c>
    </row>
    <row r="65" spans="1:4" x14ac:dyDescent="0.25">
      <c r="A65" t="s">
        <v>312</v>
      </c>
      <c r="B65" t="s">
        <v>333</v>
      </c>
      <c r="C65" t="s">
        <v>334</v>
      </c>
      <c r="D65" s="93">
        <v>41652</v>
      </c>
    </row>
    <row r="66" spans="1:4" x14ac:dyDescent="0.25">
      <c r="A66" t="s">
        <v>312</v>
      </c>
      <c r="B66" t="s">
        <v>188</v>
      </c>
      <c r="C66" t="s">
        <v>389</v>
      </c>
      <c r="D66" s="93">
        <v>41652</v>
      </c>
    </row>
    <row r="67" spans="1:4" x14ac:dyDescent="0.25">
      <c r="A67" t="s">
        <v>321</v>
      </c>
      <c r="B67" t="s">
        <v>412</v>
      </c>
      <c r="C67" t="s">
        <v>413</v>
      </c>
      <c r="D67" s="93">
        <v>41653</v>
      </c>
    </row>
    <row r="68" spans="1:4" x14ac:dyDescent="0.25">
      <c r="A68" t="s">
        <v>321</v>
      </c>
      <c r="B68" t="s">
        <v>356</v>
      </c>
      <c r="C68" t="s">
        <v>357</v>
      </c>
      <c r="D68" s="93">
        <v>41652</v>
      </c>
    </row>
    <row r="69" spans="1:4" x14ac:dyDescent="0.25">
      <c r="A69" t="s">
        <v>321</v>
      </c>
      <c r="B69" t="s">
        <v>414</v>
      </c>
      <c r="C69" t="s">
        <v>415</v>
      </c>
      <c r="D69" s="93">
        <v>41652</v>
      </c>
    </row>
    <row r="70" spans="1:4" x14ac:dyDescent="0.25">
      <c r="A70" t="s">
        <v>321</v>
      </c>
      <c r="B70" t="s">
        <v>414</v>
      </c>
      <c r="C70" t="s">
        <v>415</v>
      </c>
      <c r="D70" s="93">
        <v>41652</v>
      </c>
    </row>
    <row r="71" spans="1:4" x14ac:dyDescent="0.25">
      <c r="A71" t="s">
        <v>321</v>
      </c>
      <c r="B71" t="s">
        <v>414</v>
      </c>
      <c r="C71" t="s">
        <v>415</v>
      </c>
      <c r="D71" s="93">
        <v>41652</v>
      </c>
    </row>
    <row r="72" spans="1:4" x14ac:dyDescent="0.25">
      <c r="A72" t="s">
        <v>286</v>
      </c>
      <c r="B72" t="s">
        <v>207</v>
      </c>
      <c r="C72" t="s">
        <v>416</v>
      </c>
      <c r="D72" s="93">
        <v>41652</v>
      </c>
    </row>
    <row r="73" spans="1:4" x14ac:dyDescent="0.25">
      <c r="A73" t="s">
        <v>286</v>
      </c>
      <c r="B73" t="s">
        <v>352</v>
      </c>
      <c r="C73" t="s">
        <v>353</v>
      </c>
      <c r="D73" s="93">
        <v>41652</v>
      </c>
    </row>
    <row r="74" spans="1:4" x14ac:dyDescent="0.25">
      <c r="A74" t="s">
        <v>286</v>
      </c>
      <c r="B74" t="s">
        <v>356</v>
      </c>
      <c r="C74" t="s">
        <v>357</v>
      </c>
      <c r="D74" s="93">
        <v>41652</v>
      </c>
    </row>
  </sheetData>
  <sheetProtection algorithmName="SHA-512" hashValue="WEsFWzYY/f/vvwsLKwOdJcVF1G5XgOi5tlVWjruRh25lgSX7Mal1m8NydT6vD9bkqjA7qi3PXwpubTCdVI4H0g==" saltValue="no46axdQ2t4ssrX2Ye3FgA==" spinCount="100000" sheet="1" objects="1" scenario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C28C-F1C9-4C97-8CFE-B95072E032E4}">
  <sheetPr codeName="Sheet10"/>
  <dimension ref="B1:D7"/>
  <sheetViews>
    <sheetView workbookViewId="0">
      <selection activeCell="D11" sqref="D11"/>
    </sheetView>
  </sheetViews>
  <sheetFormatPr defaultRowHeight="15" x14ac:dyDescent="0.25"/>
  <cols>
    <col min="2" max="2" width="22.28515625" customWidth="1"/>
    <col min="4" max="4" width="27.42578125" customWidth="1"/>
  </cols>
  <sheetData>
    <row r="1" spans="2:4" x14ac:dyDescent="0.25">
      <c r="B1" s="5" t="s">
        <v>59</v>
      </c>
      <c r="C1" s="5" t="s">
        <v>60</v>
      </c>
      <c r="D1" s="5" t="s">
        <v>61</v>
      </c>
    </row>
    <row r="2" spans="2:4" x14ac:dyDescent="0.25">
      <c r="B2" t="s">
        <v>104</v>
      </c>
      <c r="C2" t="s">
        <v>62</v>
      </c>
      <c r="D2" s="6">
        <v>44858.395833333336</v>
      </c>
    </row>
    <row r="3" spans="2:4" x14ac:dyDescent="0.25">
      <c r="B3" t="s">
        <v>105</v>
      </c>
      <c r="C3" t="s">
        <v>62</v>
      </c>
      <c r="D3" s="6" t="s">
        <v>498</v>
      </c>
    </row>
    <row r="4" spans="2:4" x14ac:dyDescent="0.25">
      <c r="B4" t="s">
        <v>66</v>
      </c>
      <c r="C4" t="s">
        <v>67</v>
      </c>
      <c r="D4" s="7">
        <v>1115</v>
      </c>
    </row>
    <row r="5" spans="2:4" x14ac:dyDescent="0.25">
      <c r="B5" t="s">
        <v>103</v>
      </c>
      <c r="C5" t="s">
        <v>62</v>
      </c>
      <c r="D5" s="6">
        <v>44565.840277777781</v>
      </c>
    </row>
    <row r="6" spans="2:4" x14ac:dyDescent="0.25">
      <c r="B6" t="s">
        <v>106</v>
      </c>
      <c r="C6" t="s">
        <v>107</v>
      </c>
      <c r="D6" t="b">
        <v>0</v>
      </c>
    </row>
    <row r="7" spans="2:4" x14ac:dyDescent="0.25">
      <c r="B7" t="s">
        <v>166</v>
      </c>
      <c r="D7" t="s">
        <v>418</v>
      </c>
    </row>
  </sheetData>
  <sheetProtection algorithmName="SHA-512" hashValue="EcGuBrMlOiGqb1Ee5Pq913irrxCwcEmNeqUU36KqL25hjw9fnzMQjaqs6hN0+1TeE6aMjw1sJOPBuE/o0r8MFw==" saltValue="IEGpa32Vfh4jjRuIAd+efQ==" spinCount="100000" sheet="1" objects="1" scenarios="1"/>
  <dataValidations count="1">
    <dataValidation allowBlank="1" showInputMessage="1" showErrorMessage="1" error="Timeout value must be in datetime format mm/dd/yy HH:Min" promptTitle="Timeout Value " prompt="Timeout value must be in datetime format mm/dd/yy HH:Min" sqref="D2:D3 D5" xr:uid="{AA9CA1D9-5BD2-40E6-8C3C-3F5F99DBE202}"/>
  </dataValidation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B8D01-EC26-409C-A6B3-56F8F6C1B65D}">
  <sheetPr codeName="Sheet11"/>
  <dimension ref="A2:F73"/>
  <sheetViews>
    <sheetView workbookViewId="0">
      <selection activeCell="F7" sqref="A2:F7"/>
    </sheetView>
  </sheetViews>
  <sheetFormatPr defaultRowHeight="15" x14ac:dyDescent="0.25"/>
  <cols>
    <col min="1" max="1" width="22.28515625" bestFit="1" customWidth="1"/>
    <col min="2" max="2" width="29.85546875" bestFit="1" customWidth="1"/>
    <col min="4" max="4" width="188.28515625" bestFit="1" customWidth="1"/>
  </cols>
  <sheetData>
    <row r="2" spans="1:6" x14ac:dyDescent="0.25">
      <c r="A2" t="s">
        <v>499</v>
      </c>
    </row>
    <row r="3" spans="1:6" x14ac:dyDescent="0.25">
      <c r="A3" t="s">
        <v>500</v>
      </c>
      <c r="D3">
        <v>1</v>
      </c>
      <c r="E3" t="s">
        <v>501</v>
      </c>
      <c r="F3" s="143">
        <v>44858.500798611109</v>
      </c>
    </row>
    <row r="4" spans="1:6" x14ac:dyDescent="0.25">
      <c r="A4" t="s">
        <v>503</v>
      </c>
      <c r="B4" t="s">
        <v>502</v>
      </c>
      <c r="D4" t="s">
        <v>502</v>
      </c>
      <c r="E4" t="s">
        <v>501</v>
      </c>
      <c r="F4" s="143">
        <v>44858.500798611109</v>
      </c>
    </row>
    <row r="5" spans="1:6" x14ac:dyDescent="0.25">
      <c r="A5" t="s">
        <v>504</v>
      </c>
      <c r="B5" t="s">
        <v>502</v>
      </c>
      <c r="D5">
        <v>0</v>
      </c>
      <c r="E5" t="s">
        <v>501</v>
      </c>
      <c r="F5" s="143">
        <v>44858.500798611109</v>
      </c>
    </row>
    <row r="6" spans="1:6" x14ac:dyDescent="0.25">
      <c r="A6" t="s">
        <v>506</v>
      </c>
      <c r="B6" t="s">
        <v>502</v>
      </c>
      <c r="D6" t="s">
        <v>505</v>
      </c>
      <c r="E6" t="s">
        <v>501</v>
      </c>
      <c r="F6" s="143">
        <v>44858.500925925924</v>
      </c>
    </row>
    <row r="7" spans="1:6" x14ac:dyDescent="0.25">
      <c r="A7" t="s">
        <v>507</v>
      </c>
      <c r="B7" t="s">
        <v>502</v>
      </c>
      <c r="E7" t="s">
        <v>501</v>
      </c>
      <c r="F7" s="143">
        <v>44858.506643518522</v>
      </c>
    </row>
    <row r="8" spans="1:6" x14ac:dyDescent="0.25">
      <c r="A8" t="s">
        <v>513</v>
      </c>
      <c r="B8" t="s">
        <v>502</v>
      </c>
      <c r="D8" t="s">
        <v>514</v>
      </c>
      <c r="E8" t="s">
        <v>501</v>
      </c>
      <c r="F8" s="143">
        <v>44858.506655092591</v>
      </c>
    </row>
    <row r="9" spans="1:6" x14ac:dyDescent="0.25">
      <c r="A9" t="s">
        <v>515</v>
      </c>
      <c r="B9" t="s">
        <v>502</v>
      </c>
      <c r="D9" t="s">
        <v>185</v>
      </c>
      <c r="E9" t="s">
        <v>501</v>
      </c>
      <c r="F9" s="143">
        <v>44858.506747685184</v>
      </c>
    </row>
    <row r="10" spans="1:6" x14ac:dyDescent="0.25">
      <c r="A10" t="s">
        <v>527</v>
      </c>
      <c r="B10" t="s">
        <v>502</v>
      </c>
      <c r="D10" t="s">
        <v>528</v>
      </c>
      <c r="E10" t="s">
        <v>501</v>
      </c>
      <c r="F10" s="143">
        <v>44858.513506944444</v>
      </c>
    </row>
    <row r="11" spans="1:6" x14ac:dyDescent="0.25">
      <c r="A11" t="s">
        <v>530</v>
      </c>
      <c r="B11" t="s">
        <v>502</v>
      </c>
      <c r="D11" t="s">
        <v>191</v>
      </c>
      <c r="E11" t="s">
        <v>501</v>
      </c>
      <c r="F11" s="143">
        <v>44858.513564814813</v>
      </c>
    </row>
    <row r="12" spans="1:6" x14ac:dyDescent="0.25">
      <c r="A12" t="s">
        <v>536</v>
      </c>
      <c r="B12" t="s">
        <v>502</v>
      </c>
      <c r="D12" t="s">
        <v>537</v>
      </c>
      <c r="E12" t="s">
        <v>501</v>
      </c>
      <c r="F12" s="143">
        <v>44858.518287037034</v>
      </c>
    </row>
    <row r="13" spans="1:6" x14ac:dyDescent="0.25">
      <c r="A13" t="s">
        <v>540</v>
      </c>
      <c r="B13" t="s">
        <v>502</v>
      </c>
      <c r="D13" t="s">
        <v>191</v>
      </c>
      <c r="E13" t="s">
        <v>501</v>
      </c>
      <c r="F13" s="143">
        <v>44858.518368055556</v>
      </c>
    </row>
    <row r="14" spans="1:6" x14ac:dyDescent="0.25">
      <c r="A14" t="s">
        <v>547</v>
      </c>
      <c r="B14" t="s">
        <v>502</v>
      </c>
      <c r="D14" t="s">
        <v>548</v>
      </c>
      <c r="E14" t="s">
        <v>501</v>
      </c>
      <c r="F14" s="143">
        <v>44858.524317129632</v>
      </c>
    </row>
    <row r="15" spans="1:6" x14ac:dyDescent="0.25">
      <c r="A15" t="s">
        <v>561</v>
      </c>
      <c r="B15" t="s">
        <v>502</v>
      </c>
      <c r="D15" t="s">
        <v>549</v>
      </c>
      <c r="E15" t="s">
        <v>501</v>
      </c>
      <c r="F15" s="143">
        <v>44858.524467592593</v>
      </c>
    </row>
    <row r="16" spans="1:6" x14ac:dyDescent="0.25">
      <c r="A16" t="s">
        <v>563</v>
      </c>
      <c r="B16" t="s">
        <v>502</v>
      </c>
      <c r="D16" t="s">
        <v>564</v>
      </c>
      <c r="E16" t="s">
        <v>501</v>
      </c>
      <c r="F16" s="143">
        <v>44858.529733796298</v>
      </c>
    </row>
    <row r="17" spans="1:6" x14ac:dyDescent="0.25">
      <c r="A17" t="s">
        <v>567</v>
      </c>
      <c r="B17" t="s">
        <v>502</v>
      </c>
      <c r="D17" t="s">
        <v>212</v>
      </c>
      <c r="E17" t="s">
        <v>501</v>
      </c>
      <c r="F17" s="143">
        <v>44858.530694444446</v>
      </c>
    </row>
    <row r="18" spans="1:6" x14ac:dyDescent="0.25">
      <c r="A18" t="s">
        <v>515</v>
      </c>
      <c r="B18" t="s">
        <v>502</v>
      </c>
      <c r="E18" t="s">
        <v>501</v>
      </c>
      <c r="F18" s="143">
        <v>44858.549502314818</v>
      </c>
    </row>
    <row r="19" spans="1:6" x14ac:dyDescent="0.25">
      <c r="A19" t="s">
        <v>568</v>
      </c>
      <c r="B19" t="s">
        <v>502</v>
      </c>
      <c r="D19" t="s">
        <v>185</v>
      </c>
      <c r="E19" t="s">
        <v>501</v>
      </c>
      <c r="F19" s="143">
        <v>44858.549513888887</v>
      </c>
    </row>
    <row r="20" spans="1:6" x14ac:dyDescent="0.25">
      <c r="A20" t="s">
        <v>569</v>
      </c>
      <c r="B20" t="s">
        <v>502</v>
      </c>
      <c r="D20" t="s">
        <v>514</v>
      </c>
      <c r="E20" t="s">
        <v>501</v>
      </c>
      <c r="F20" s="143">
        <v>44858.549583333333</v>
      </c>
    </row>
    <row r="21" spans="1:6" x14ac:dyDescent="0.25">
      <c r="A21" t="s">
        <v>570</v>
      </c>
      <c r="B21" t="s">
        <v>502</v>
      </c>
      <c r="E21" t="s">
        <v>501</v>
      </c>
      <c r="F21" s="143">
        <v>44858.549641203703</v>
      </c>
    </row>
    <row r="22" spans="1:6" x14ac:dyDescent="0.25">
      <c r="A22" t="s">
        <v>513</v>
      </c>
      <c r="B22" t="s">
        <v>502</v>
      </c>
      <c r="D22" t="s">
        <v>572</v>
      </c>
      <c r="E22" t="s">
        <v>501</v>
      </c>
      <c r="F22" s="143">
        <v>44858.549675925926</v>
      </c>
    </row>
    <row r="23" spans="1:6" x14ac:dyDescent="0.25">
      <c r="A23" t="s">
        <v>579</v>
      </c>
      <c r="B23" t="s">
        <v>502</v>
      </c>
      <c r="D23" t="s">
        <v>580</v>
      </c>
      <c r="E23" t="s">
        <v>501</v>
      </c>
      <c r="F23" s="143">
        <v>44858.556388888886</v>
      </c>
    </row>
    <row r="24" spans="1:6" x14ac:dyDescent="0.25">
      <c r="A24" t="s">
        <v>599</v>
      </c>
      <c r="B24" t="s">
        <v>502</v>
      </c>
      <c r="D24" t="s">
        <v>581</v>
      </c>
      <c r="E24" t="s">
        <v>501</v>
      </c>
      <c r="F24" s="143">
        <v>44858.556527777779</v>
      </c>
    </row>
    <row r="25" spans="1:6" x14ac:dyDescent="0.25">
      <c r="A25" t="s">
        <v>601</v>
      </c>
      <c r="B25" t="s">
        <v>502</v>
      </c>
      <c r="D25" t="s">
        <v>600</v>
      </c>
      <c r="E25" t="s">
        <v>501</v>
      </c>
      <c r="F25" s="143">
        <v>44858.558333333334</v>
      </c>
    </row>
    <row r="26" spans="1:6" x14ac:dyDescent="0.25">
      <c r="A26" t="s">
        <v>601</v>
      </c>
      <c r="B26" t="s">
        <v>502</v>
      </c>
      <c r="D26" t="s">
        <v>602</v>
      </c>
      <c r="E26" t="s">
        <v>501</v>
      </c>
      <c r="F26" s="143">
        <v>44858.558449074073</v>
      </c>
    </row>
    <row r="27" spans="1:6" x14ac:dyDescent="0.25">
      <c r="A27" t="s">
        <v>612</v>
      </c>
      <c r="B27" t="s">
        <v>502</v>
      </c>
      <c r="D27" t="s">
        <v>613</v>
      </c>
      <c r="E27" t="s">
        <v>501</v>
      </c>
      <c r="F27" s="143">
        <v>44858.568912037037</v>
      </c>
    </row>
    <row r="28" spans="1:6" x14ac:dyDescent="0.25">
      <c r="A28" t="s">
        <v>615</v>
      </c>
      <c r="B28" t="s">
        <v>502</v>
      </c>
      <c r="D28" t="s">
        <v>614</v>
      </c>
      <c r="E28" t="s">
        <v>501</v>
      </c>
      <c r="F28" s="143">
        <v>44858.569236111114</v>
      </c>
    </row>
    <row r="29" spans="1:6" x14ac:dyDescent="0.25">
      <c r="A29" t="s">
        <v>616</v>
      </c>
      <c r="B29" t="s">
        <v>502</v>
      </c>
      <c r="D29" t="s">
        <v>617</v>
      </c>
      <c r="E29" t="s">
        <v>501</v>
      </c>
      <c r="F29" s="143">
        <v>44858.570613425924</v>
      </c>
    </row>
    <row r="30" spans="1:6" x14ac:dyDescent="0.25">
      <c r="A30" t="s">
        <v>618</v>
      </c>
      <c r="B30" t="s">
        <v>502</v>
      </c>
      <c r="E30" t="s">
        <v>501</v>
      </c>
      <c r="F30" s="143">
        <v>44858.575416666667</v>
      </c>
    </row>
    <row r="31" spans="1:6" x14ac:dyDescent="0.25">
      <c r="A31" t="s">
        <v>623</v>
      </c>
      <c r="B31" t="s">
        <v>502</v>
      </c>
      <c r="D31" t="s">
        <v>624</v>
      </c>
      <c r="E31" t="s">
        <v>501</v>
      </c>
      <c r="F31" s="143">
        <v>44858.575462962966</v>
      </c>
    </row>
    <row r="32" spans="1:6" x14ac:dyDescent="0.25">
      <c r="A32" t="s">
        <v>567</v>
      </c>
      <c r="B32" t="s">
        <v>502</v>
      </c>
      <c r="E32" t="s">
        <v>501</v>
      </c>
      <c r="F32" s="143">
        <v>44858.575520833336</v>
      </c>
    </row>
    <row r="33" spans="1:6" x14ac:dyDescent="0.25">
      <c r="A33" t="s">
        <v>626</v>
      </c>
      <c r="B33" t="s">
        <v>502</v>
      </c>
      <c r="D33" t="s">
        <v>627</v>
      </c>
      <c r="E33" t="s">
        <v>501</v>
      </c>
      <c r="F33" s="143">
        <v>44858.576215277775</v>
      </c>
    </row>
    <row r="34" spans="1:6" x14ac:dyDescent="0.25">
      <c r="A34" t="s">
        <v>634</v>
      </c>
      <c r="B34" t="s">
        <v>502</v>
      </c>
      <c r="D34" t="s">
        <v>212</v>
      </c>
      <c r="E34" t="s">
        <v>501</v>
      </c>
      <c r="F34" s="143">
        <v>44858.576620370368</v>
      </c>
    </row>
    <row r="35" spans="1:6" x14ac:dyDescent="0.25">
      <c r="A35" t="s">
        <v>635</v>
      </c>
      <c r="B35" t="s">
        <v>502</v>
      </c>
      <c r="E35" t="s">
        <v>501</v>
      </c>
      <c r="F35" s="143">
        <v>44858.58016203704</v>
      </c>
    </row>
    <row r="36" spans="1:6" x14ac:dyDescent="0.25">
      <c r="A36" t="s">
        <v>636</v>
      </c>
      <c r="B36" t="s">
        <v>502</v>
      </c>
      <c r="E36" t="s">
        <v>501</v>
      </c>
      <c r="F36" s="143">
        <v>44858.580185185187</v>
      </c>
    </row>
    <row r="37" spans="1:6" x14ac:dyDescent="0.25">
      <c r="A37" t="s">
        <v>536</v>
      </c>
      <c r="B37" t="s">
        <v>502</v>
      </c>
      <c r="D37" t="s">
        <v>638</v>
      </c>
      <c r="E37" t="s">
        <v>501</v>
      </c>
      <c r="F37" s="143">
        <v>44858.580208333333</v>
      </c>
    </row>
    <row r="38" spans="1:6" x14ac:dyDescent="0.25">
      <c r="A38" t="s">
        <v>540</v>
      </c>
      <c r="B38" t="s">
        <v>502</v>
      </c>
      <c r="E38" t="s">
        <v>501</v>
      </c>
      <c r="F38" s="143">
        <v>44858.580358796295</v>
      </c>
    </row>
    <row r="39" spans="1:6" x14ac:dyDescent="0.25">
      <c r="A39" t="s">
        <v>640</v>
      </c>
      <c r="B39" t="s">
        <v>502</v>
      </c>
      <c r="D39" t="s">
        <v>191</v>
      </c>
      <c r="E39" t="s">
        <v>501</v>
      </c>
      <c r="F39" s="143">
        <v>44858.580370370371</v>
      </c>
    </row>
    <row r="40" spans="1:6" x14ac:dyDescent="0.25">
      <c r="A40" t="s">
        <v>641</v>
      </c>
      <c r="B40" t="s">
        <v>502</v>
      </c>
      <c r="D40" s="93">
        <v>17</v>
      </c>
      <c r="E40" t="s">
        <v>501</v>
      </c>
      <c r="F40" s="143">
        <v>44858.581458333334</v>
      </c>
    </row>
    <row r="41" spans="1:6" x14ac:dyDescent="0.25">
      <c r="A41" t="s">
        <v>641</v>
      </c>
      <c r="B41" t="s">
        <v>502</v>
      </c>
      <c r="D41" s="93">
        <v>17</v>
      </c>
      <c r="E41" t="s">
        <v>501</v>
      </c>
      <c r="F41" s="143">
        <v>44858.581516203703</v>
      </c>
    </row>
    <row r="42" spans="1:6" x14ac:dyDescent="0.25">
      <c r="A42" t="s">
        <v>641</v>
      </c>
      <c r="B42" t="s">
        <v>502</v>
      </c>
      <c r="D42" s="93">
        <v>17</v>
      </c>
      <c r="E42" t="s">
        <v>501</v>
      </c>
      <c r="F42" s="143">
        <v>44858.581956018519</v>
      </c>
    </row>
    <row r="43" spans="1:6" x14ac:dyDescent="0.25">
      <c r="A43" t="s">
        <v>641</v>
      </c>
      <c r="B43" t="s">
        <v>502</v>
      </c>
      <c r="D43" s="93">
        <v>17</v>
      </c>
      <c r="E43" t="s">
        <v>501</v>
      </c>
      <c r="F43" s="143">
        <v>44858.582013888888</v>
      </c>
    </row>
    <row r="44" spans="1:6" x14ac:dyDescent="0.25">
      <c r="A44" t="s">
        <v>641</v>
      </c>
      <c r="B44" t="s">
        <v>502</v>
      </c>
      <c r="D44" s="93">
        <v>10</v>
      </c>
      <c r="E44" t="s">
        <v>501</v>
      </c>
      <c r="F44" s="143">
        <v>44858.582048611112</v>
      </c>
    </row>
    <row r="45" spans="1:6" x14ac:dyDescent="0.25">
      <c r="A45" t="s">
        <v>642</v>
      </c>
      <c r="B45" t="s">
        <v>502</v>
      </c>
      <c r="D45" t="s">
        <v>46</v>
      </c>
      <c r="E45" t="s">
        <v>501</v>
      </c>
      <c r="F45" s="143">
        <v>44858.582129629627</v>
      </c>
    </row>
    <row r="46" spans="1:6" x14ac:dyDescent="0.25">
      <c r="A46" t="s">
        <v>643</v>
      </c>
      <c r="B46" t="s">
        <v>502</v>
      </c>
      <c r="D46" t="s">
        <v>46</v>
      </c>
      <c r="E46" t="s">
        <v>501</v>
      </c>
      <c r="F46" s="143">
        <v>44858.582199074073</v>
      </c>
    </row>
    <row r="47" spans="1:6" x14ac:dyDescent="0.25">
      <c r="A47" t="s">
        <v>642</v>
      </c>
      <c r="B47" t="s">
        <v>502</v>
      </c>
      <c r="D47" s="93">
        <v>20</v>
      </c>
      <c r="E47" t="s">
        <v>501</v>
      </c>
      <c r="F47" s="143">
        <v>44858.582268518519</v>
      </c>
    </row>
    <row r="48" spans="1:6" x14ac:dyDescent="0.25">
      <c r="A48" t="s">
        <v>643</v>
      </c>
      <c r="B48" t="s">
        <v>502</v>
      </c>
      <c r="D48" s="93">
        <v>17</v>
      </c>
      <c r="E48" t="s">
        <v>501</v>
      </c>
      <c r="F48" s="143">
        <v>44858.583715277775</v>
      </c>
    </row>
    <row r="49" spans="1:6" x14ac:dyDescent="0.25">
      <c r="A49" t="s">
        <v>641</v>
      </c>
      <c r="B49" t="s">
        <v>502</v>
      </c>
      <c r="D49" s="93">
        <v>10</v>
      </c>
      <c r="E49" t="s">
        <v>501</v>
      </c>
      <c r="F49" s="143">
        <v>44858.584733796299</v>
      </c>
    </row>
    <row r="50" spans="1:6" x14ac:dyDescent="0.25">
      <c r="A50" t="s">
        <v>644</v>
      </c>
      <c r="B50" t="s">
        <v>502</v>
      </c>
      <c r="D50" t="b">
        <v>0</v>
      </c>
      <c r="E50" t="s">
        <v>501</v>
      </c>
      <c r="F50" s="143">
        <v>44858.584803240738</v>
      </c>
    </row>
    <row r="51" spans="1:6" x14ac:dyDescent="0.25">
      <c r="A51" t="s">
        <v>500</v>
      </c>
      <c r="B51" t="s">
        <v>502</v>
      </c>
      <c r="D51">
        <v>2</v>
      </c>
      <c r="E51" t="s">
        <v>501</v>
      </c>
      <c r="F51" s="143">
        <v>44858.58489583333</v>
      </c>
    </row>
    <row r="52" spans="1:6" x14ac:dyDescent="0.25">
      <c r="A52" t="s">
        <v>645</v>
      </c>
      <c r="B52" t="s">
        <v>502</v>
      </c>
      <c r="D52" t="b">
        <v>0</v>
      </c>
      <c r="E52" t="s">
        <v>501</v>
      </c>
      <c r="F52" s="143">
        <v>44858.585150462961</v>
      </c>
    </row>
    <row r="53" spans="1:6" x14ac:dyDescent="0.25">
      <c r="A53" t="s">
        <v>646</v>
      </c>
      <c r="B53" t="s">
        <v>502</v>
      </c>
      <c r="D53" t="b">
        <v>0</v>
      </c>
      <c r="E53" t="s">
        <v>501</v>
      </c>
      <c r="F53" s="143">
        <v>44858.5862037037</v>
      </c>
    </row>
    <row r="54" spans="1:6" x14ac:dyDescent="0.25">
      <c r="A54" t="s">
        <v>500</v>
      </c>
      <c r="B54" t="s">
        <v>502</v>
      </c>
      <c r="D54">
        <v>3</v>
      </c>
      <c r="E54" t="s">
        <v>501</v>
      </c>
      <c r="F54" s="143">
        <v>44858.5862037037</v>
      </c>
    </row>
    <row r="55" spans="1:6" x14ac:dyDescent="0.25">
      <c r="A55" t="s">
        <v>646</v>
      </c>
      <c r="B55" t="s">
        <v>502</v>
      </c>
      <c r="D55" t="b">
        <v>0</v>
      </c>
      <c r="E55" t="s">
        <v>501</v>
      </c>
      <c r="F55" s="143">
        <v>44858.586435185185</v>
      </c>
    </row>
    <row r="56" spans="1:6" x14ac:dyDescent="0.25">
      <c r="A56" t="s">
        <v>646</v>
      </c>
      <c r="B56" t="s">
        <v>502</v>
      </c>
      <c r="D56" t="b">
        <v>0</v>
      </c>
      <c r="E56" t="s">
        <v>501</v>
      </c>
      <c r="F56" s="143">
        <v>44858.586597222224</v>
      </c>
    </row>
    <row r="57" spans="1:6" x14ac:dyDescent="0.25">
      <c r="A57" t="s">
        <v>500</v>
      </c>
      <c r="B57" t="s">
        <v>502</v>
      </c>
      <c r="D57">
        <v>4</v>
      </c>
      <c r="E57" t="s">
        <v>501</v>
      </c>
      <c r="F57" s="143">
        <v>44858.586597222224</v>
      </c>
    </row>
    <row r="58" spans="1:6" x14ac:dyDescent="0.25">
      <c r="A58" t="s">
        <v>646</v>
      </c>
      <c r="B58" t="s">
        <v>502</v>
      </c>
      <c r="D58" t="b">
        <v>0</v>
      </c>
      <c r="E58" t="s">
        <v>501</v>
      </c>
      <c r="F58" s="143">
        <v>44858.586678240739</v>
      </c>
    </row>
    <row r="59" spans="1:6" x14ac:dyDescent="0.25">
      <c r="A59" t="s">
        <v>646</v>
      </c>
      <c r="B59" t="s">
        <v>502</v>
      </c>
      <c r="D59" t="b">
        <v>0</v>
      </c>
      <c r="E59" t="s">
        <v>501</v>
      </c>
      <c r="F59" s="143">
        <v>44858.587407407409</v>
      </c>
    </row>
    <row r="60" spans="1:6" x14ac:dyDescent="0.25">
      <c r="A60" t="s">
        <v>500</v>
      </c>
      <c r="B60" t="s">
        <v>502</v>
      </c>
      <c r="D60">
        <v>5</v>
      </c>
      <c r="E60" t="s">
        <v>501</v>
      </c>
      <c r="F60" s="143">
        <v>44858.587407407409</v>
      </c>
    </row>
    <row r="61" spans="1:6" x14ac:dyDescent="0.25">
      <c r="A61" t="s">
        <v>646</v>
      </c>
      <c r="B61" t="s">
        <v>502</v>
      </c>
      <c r="D61" t="b">
        <v>0</v>
      </c>
      <c r="E61" t="s">
        <v>501</v>
      </c>
      <c r="F61" s="143">
        <v>44858.587581018517</v>
      </c>
    </row>
    <row r="62" spans="1:6" x14ac:dyDescent="0.25">
      <c r="A62" t="s">
        <v>646</v>
      </c>
      <c r="B62" t="s">
        <v>502</v>
      </c>
      <c r="D62" t="b">
        <v>0</v>
      </c>
      <c r="E62" t="s">
        <v>501</v>
      </c>
      <c r="F62" s="143">
        <v>44858.587719907409</v>
      </c>
    </row>
    <row r="63" spans="1:6" x14ac:dyDescent="0.25">
      <c r="A63" t="s">
        <v>500</v>
      </c>
      <c r="B63" t="s">
        <v>502</v>
      </c>
      <c r="D63">
        <v>6</v>
      </c>
      <c r="E63" t="s">
        <v>501</v>
      </c>
      <c r="F63" s="143">
        <v>44858.587719907409</v>
      </c>
    </row>
    <row r="64" spans="1:6" x14ac:dyDescent="0.25">
      <c r="A64" t="s">
        <v>646</v>
      </c>
      <c r="B64" t="s">
        <v>502</v>
      </c>
      <c r="D64" t="b">
        <v>0</v>
      </c>
      <c r="E64" t="s">
        <v>501</v>
      </c>
      <c r="F64" s="143">
        <v>44858.58792824074</v>
      </c>
    </row>
    <row r="65" spans="1:6" x14ac:dyDescent="0.25">
      <c r="A65" t="s">
        <v>646</v>
      </c>
      <c r="B65" t="s">
        <v>502</v>
      </c>
      <c r="D65" t="b">
        <v>0</v>
      </c>
      <c r="E65" t="s">
        <v>501</v>
      </c>
      <c r="F65" s="143">
        <v>44858.588865740741</v>
      </c>
    </row>
    <row r="66" spans="1:6" x14ac:dyDescent="0.25">
      <c r="A66" t="s">
        <v>500</v>
      </c>
      <c r="B66" t="s">
        <v>502</v>
      </c>
      <c r="D66">
        <v>7</v>
      </c>
      <c r="E66" t="s">
        <v>501</v>
      </c>
      <c r="F66" s="143">
        <v>44858.588865740741</v>
      </c>
    </row>
    <row r="67" spans="1:6" x14ac:dyDescent="0.25">
      <c r="A67" t="s">
        <v>646</v>
      </c>
      <c r="B67" t="s">
        <v>502</v>
      </c>
      <c r="D67" t="b">
        <v>0</v>
      </c>
      <c r="E67" t="s">
        <v>501</v>
      </c>
      <c r="F67" s="143">
        <v>44858.589456018519</v>
      </c>
    </row>
    <row r="68" spans="1:6" x14ac:dyDescent="0.25">
      <c r="A68" t="s">
        <v>646</v>
      </c>
      <c r="B68" t="s">
        <v>502</v>
      </c>
      <c r="D68" t="b">
        <v>0</v>
      </c>
      <c r="E68" t="s">
        <v>501</v>
      </c>
      <c r="F68" s="143">
        <v>44858.598668981482</v>
      </c>
    </row>
    <row r="69" spans="1:6" x14ac:dyDescent="0.25">
      <c r="A69" t="s">
        <v>500</v>
      </c>
      <c r="B69" t="s">
        <v>502</v>
      </c>
      <c r="D69">
        <v>8</v>
      </c>
      <c r="E69" t="s">
        <v>501</v>
      </c>
      <c r="F69" s="143">
        <v>44858.598668981482</v>
      </c>
    </row>
    <row r="70" spans="1:6" x14ac:dyDescent="0.25">
      <c r="A70" t="s">
        <v>646</v>
      </c>
      <c r="B70" t="s">
        <v>502</v>
      </c>
      <c r="D70" t="b">
        <v>0</v>
      </c>
      <c r="E70" t="s">
        <v>501</v>
      </c>
      <c r="F70" s="143">
        <v>44858.599351851852</v>
      </c>
    </row>
    <row r="71" spans="1:6" x14ac:dyDescent="0.25">
      <c r="A71" t="s">
        <v>646</v>
      </c>
      <c r="B71" t="s">
        <v>502</v>
      </c>
      <c r="D71" t="b">
        <v>0</v>
      </c>
      <c r="E71" t="s">
        <v>501</v>
      </c>
      <c r="F71" s="143">
        <v>44858.604155092595</v>
      </c>
    </row>
    <row r="72" spans="1:6" x14ac:dyDescent="0.25">
      <c r="A72" t="s">
        <v>500</v>
      </c>
      <c r="B72" t="s">
        <v>502</v>
      </c>
      <c r="D72">
        <v>9</v>
      </c>
      <c r="E72" t="s">
        <v>501</v>
      </c>
      <c r="F72" s="143">
        <v>44858.604155092595</v>
      </c>
    </row>
    <row r="73" spans="1:6" x14ac:dyDescent="0.25">
      <c r="A73" t="s">
        <v>646</v>
      </c>
      <c r="B73" t="s">
        <v>502</v>
      </c>
      <c r="D73" t="b">
        <v>0</v>
      </c>
      <c r="E73" t="s">
        <v>501</v>
      </c>
      <c r="F73" s="143">
        <v>44858.604537037034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75A5D-F591-4617-A21F-D9F3F732B81C}">
  <sheetPr codeName="Sheet22"/>
  <dimension ref="A1"/>
  <sheetViews>
    <sheetView workbookViewId="0"/>
  </sheetViews>
  <sheetFormatPr defaultRowHeight="15" x14ac:dyDescent="0.25"/>
  <sheetData/>
  <sheetProtection algorithmName="SHA-512" hashValue="qtCf/tm0yIzB5ILLmQZ10ZX5oGmQ/VeB5AeNmzUcEIf1rYFJ5IOl+TM4GdbqzidDjo2L7Ar0dqzeXVyqi6oFJw==" saltValue="6g2oTT5doGrD2Nykl0lXKQ==" spinCount="100000" sheet="1" objects="1" scenario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423B3-61D7-47D9-8C11-CE8646F67AAA}">
  <sheetPr codeName="Sheet9"/>
  <dimension ref="A1:N34"/>
  <sheetViews>
    <sheetView workbookViewId="0"/>
  </sheetViews>
  <sheetFormatPr defaultColWidth="9.28515625" defaultRowHeight="15" x14ac:dyDescent="0.25"/>
  <cols>
    <col min="1" max="1" width="37.42578125" style="1" customWidth="1"/>
    <col min="2" max="2" width="25.7109375" style="1" customWidth="1"/>
    <col min="3" max="3" width="22.28515625" style="1" customWidth="1"/>
    <col min="4" max="4" width="17.28515625" style="1" customWidth="1"/>
    <col min="5" max="5" width="19.5703125" style="1" customWidth="1"/>
    <col min="6" max="10" width="9.28515625" style="1"/>
    <col min="11" max="11" width="12.7109375" style="1" bestFit="1" customWidth="1"/>
    <col min="12" max="12" width="23.5703125" style="1" bestFit="1" customWidth="1"/>
    <col min="13" max="13" width="27" style="1" bestFit="1" customWidth="1"/>
    <col min="14" max="14" width="27.7109375" style="1" customWidth="1"/>
    <col min="15" max="16384" width="9.28515625" style="1"/>
  </cols>
  <sheetData>
    <row r="1" spans="1:14" x14ac:dyDescent="0.25">
      <c r="A1" s="1" t="s">
        <v>11</v>
      </c>
      <c r="B1" s="1" t="s">
        <v>12</v>
      </c>
      <c r="C1" s="1" t="s">
        <v>13</v>
      </c>
      <c r="D1" s="2" t="s">
        <v>14</v>
      </c>
      <c r="E1" s="4" t="s">
        <v>49</v>
      </c>
      <c r="F1" s="4" t="s">
        <v>64</v>
      </c>
      <c r="L1" s="12" t="s">
        <v>54</v>
      </c>
      <c r="M1" s="3" t="s">
        <v>55</v>
      </c>
      <c r="N1" s="3" t="s">
        <v>56</v>
      </c>
    </row>
    <row r="2" spans="1:14" x14ac:dyDescent="0.25">
      <c r="A2" s="1" t="s">
        <v>15</v>
      </c>
      <c r="B2" s="1" t="s">
        <v>16</v>
      </c>
      <c r="C2" s="1" t="s">
        <v>17</v>
      </c>
      <c r="D2" s="2" t="s">
        <v>7</v>
      </c>
      <c r="E2" s="2" t="s">
        <v>112</v>
      </c>
      <c r="F2" s="4" t="s">
        <v>63</v>
      </c>
      <c r="I2" s="3" t="s">
        <v>43</v>
      </c>
      <c r="J2" s="3" t="s">
        <v>88</v>
      </c>
      <c r="K2" s="3" t="s">
        <v>98</v>
      </c>
      <c r="L2" s="8"/>
      <c r="M2" s="10" t="s">
        <v>75</v>
      </c>
      <c r="N2" s="3" t="s">
        <v>74</v>
      </c>
    </row>
    <row r="3" spans="1:14" x14ac:dyDescent="0.25">
      <c r="A3" s="1" t="s">
        <v>18</v>
      </c>
      <c r="B3" s="1" t="s">
        <v>19</v>
      </c>
      <c r="C3" s="1" t="s">
        <v>20</v>
      </c>
      <c r="D3" s="2" t="s">
        <v>8</v>
      </c>
      <c r="E3" s="2" t="s">
        <v>111</v>
      </c>
      <c r="F3" s="2" t="s">
        <v>65</v>
      </c>
      <c r="I3" s="3" t="s">
        <v>44</v>
      </c>
      <c r="J3" s="3" t="s">
        <v>87</v>
      </c>
      <c r="K3" s="3" t="s">
        <v>99</v>
      </c>
      <c r="L3" s="8" t="s">
        <v>69</v>
      </c>
      <c r="M3" s="41" t="s">
        <v>102</v>
      </c>
      <c r="N3" s="3" t="s">
        <v>82</v>
      </c>
    </row>
    <row r="4" spans="1:14" x14ac:dyDescent="0.25">
      <c r="A4" s="3" t="s">
        <v>21</v>
      </c>
      <c r="B4" s="3" t="s">
        <v>5</v>
      </c>
      <c r="D4" s="4"/>
      <c r="E4" s="4"/>
      <c r="F4" s="4"/>
      <c r="I4" s="3" t="s">
        <v>45</v>
      </c>
      <c r="K4" s="3" t="s">
        <v>83</v>
      </c>
      <c r="L4" s="8" t="s">
        <v>71</v>
      </c>
      <c r="M4" s="14" t="s">
        <v>95</v>
      </c>
      <c r="N4" s="3" t="s">
        <v>89</v>
      </c>
    </row>
    <row r="5" spans="1:14" x14ac:dyDescent="0.25">
      <c r="A5" s="1" t="s">
        <v>0</v>
      </c>
      <c r="B5" s="1" t="s">
        <v>23</v>
      </c>
      <c r="D5" s="4"/>
      <c r="E5" s="4"/>
      <c r="F5" s="4"/>
      <c r="I5" s="3" t="s">
        <v>46</v>
      </c>
      <c r="K5" s="3" t="s">
        <v>84</v>
      </c>
      <c r="L5" s="8" t="s">
        <v>70</v>
      </c>
      <c r="M5" s="10" t="s">
        <v>77</v>
      </c>
    </row>
    <row r="6" spans="1:14" x14ac:dyDescent="0.25">
      <c r="A6" s="3" t="s">
        <v>5</v>
      </c>
      <c r="B6" s="3" t="s">
        <v>27</v>
      </c>
      <c r="D6" s="4"/>
      <c r="E6" s="4"/>
      <c r="F6" s="4"/>
      <c r="I6" s="3" t="s">
        <v>73</v>
      </c>
      <c r="L6" s="9" t="s">
        <v>90</v>
      </c>
      <c r="M6" s="10" t="s">
        <v>79</v>
      </c>
    </row>
    <row r="7" spans="1:14" ht="25.5" x14ac:dyDescent="0.25">
      <c r="A7" s="1" t="s">
        <v>24</v>
      </c>
      <c r="B7" s="3" t="s">
        <v>25</v>
      </c>
      <c r="D7" s="4"/>
      <c r="E7" s="4"/>
      <c r="F7" s="4"/>
      <c r="L7" s="9" t="s">
        <v>86</v>
      </c>
      <c r="M7" s="14" t="s">
        <v>94</v>
      </c>
      <c r="N7" s="3" t="s">
        <v>15</v>
      </c>
    </row>
    <row r="8" spans="1:14" ht="25.5" x14ac:dyDescent="0.25">
      <c r="A8" s="3" t="s">
        <v>26</v>
      </c>
      <c r="B8" s="1" t="s">
        <v>6</v>
      </c>
      <c r="D8" s="4"/>
      <c r="E8" s="4"/>
      <c r="F8" s="4"/>
      <c r="L8" s="9" t="s">
        <v>72</v>
      </c>
      <c r="M8" s="10" t="s">
        <v>76</v>
      </c>
      <c r="N8" s="3" t="s">
        <v>0</v>
      </c>
    </row>
    <row r="9" spans="1:14" ht="25.5" x14ac:dyDescent="0.25">
      <c r="A9" s="2" t="s">
        <v>25</v>
      </c>
      <c r="B9" s="2" t="s">
        <v>22</v>
      </c>
      <c r="C9" s="4"/>
      <c r="D9" s="4"/>
      <c r="E9" s="4"/>
      <c r="F9" s="4"/>
      <c r="L9" s="9" t="s">
        <v>85</v>
      </c>
      <c r="M9" s="10" t="s">
        <v>80</v>
      </c>
      <c r="N9" s="3" t="s">
        <v>101</v>
      </c>
    </row>
    <row r="10" spans="1:14" x14ac:dyDescent="0.25">
      <c r="A10" s="2" t="s">
        <v>39</v>
      </c>
      <c r="B10" s="4"/>
      <c r="C10" s="4"/>
      <c r="D10" s="4"/>
      <c r="E10" s="4"/>
      <c r="F10" s="4"/>
      <c r="L10" s="13"/>
      <c r="M10" s="10" t="s">
        <v>81</v>
      </c>
      <c r="N10" s="3" t="s">
        <v>96</v>
      </c>
    </row>
    <row r="11" spans="1:14" x14ac:dyDescent="0.25">
      <c r="A11" s="2" t="s">
        <v>4</v>
      </c>
      <c r="B11" s="4"/>
      <c r="C11" s="4"/>
      <c r="D11" s="4"/>
      <c r="E11" s="4"/>
      <c r="F11" s="4"/>
      <c r="M11" s="10" t="s">
        <v>78</v>
      </c>
      <c r="N11" s="3" t="s">
        <v>97</v>
      </c>
    </row>
    <row r="12" spans="1:14" x14ac:dyDescent="0.25">
      <c r="A12" s="3" t="s">
        <v>108</v>
      </c>
      <c r="D12" s="4"/>
      <c r="E12" s="4"/>
      <c r="F12" s="4"/>
      <c r="N12" s="3" t="s">
        <v>100</v>
      </c>
    </row>
    <row r="13" spans="1:14" x14ac:dyDescent="0.25">
      <c r="A13" s="2" t="s">
        <v>40</v>
      </c>
      <c r="B13" s="4"/>
      <c r="C13" s="4"/>
      <c r="D13" s="4"/>
      <c r="E13" s="4"/>
      <c r="F13" s="4"/>
    </row>
    <row r="14" spans="1:14" x14ac:dyDescent="0.25">
      <c r="A14" s="4" t="s">
        <v>41</v>
      </c>
      <c r="B14" s="4"/>
      <c r="C14" s="4"/>
      <c r="D14" s="4"/>
      <c r="E14" s="4"/>
      <c r="F14" s="4"/>
    </row>
    <row r="15" spans="1:14" x14ac:dyDescent="0.25">
      <c r="A15" s="1" t="s">
        <v>9</v>
      </c>
      <c r="D15" s="4"/>
      <c r="E15" s="4"/>
      <c r="F15" s="4"/>
    </row>
    <row r="16" spans="1:14" x14ac:dyDescent="0.25">
      <c r="A16" s="1" t="s">
        <v>28</v>
      </c>
      <c r="D16" s="4"/>
      <c r="E16" s="4"/>
      <c r="F16" s="4"/>
    </row>
    <row r="17" spans="1:6" x14ac:dyDescent="0.25">
      <c r="A17" s="1" t="s">
        <v>29</v>
      </c>
      <c r="D17" s="4"/>
      <c r="E17" s="4"/>
      <c r="F17" s="4"/>
    </row>
    <row r="18" spans="1:6" x14ac:dyDescent="0.25">
      <c r="A18" s="1" t="s">
        <v>30</v>
      </c>
      <c r="D18" s="4"/>
      <c r="E18" s="4"/>
      <c r="F18" s="4"/>
    </row>
    <row r="19" spans="1:6" x14ac:dyDescent="0.25">
      <c r="A19" s="1" t="s">
        <v>3</v>
      </c>
      <c r="D19" s="4"/>
      <c r="E19" s="4"/>
      <c r="F19" s="4"/>
    </row>
    <row r="20" spans="1:6" x14ac:dyDescent="0.25">
      <c r="A20" s="1" t="s">
        <v>31</v>
      </c>
      <c r="D20" s="4"/>
      <c r="E20" s="4"/>
      <c r="F20" s="4"/>
    </row>
    <row r="21" spans="1:6" x14ac:dyDescent="0.25">
      <c r="A21" s="1" t="s">
        <v>32</v>
      </c>
      <c r="D21" s="4"/>
      <c r="E21" s="4"/>
      <c r="F21" s="4"/>
    </row>
    <row r="22" spans="1:6" x14ac:dyDescent="0.25">
      <c r="A22" s="1" t="s">
        <v>33</v>
      </c>
      <c r="D22" s="4"/>
      <c r="E22" s="4"/>
      <c r="F22" s="4"/>
    </row>
    <row r="23" spans="1:6" x14ac:dyDescent="0.25">
      <c r="A23" s="3" t="s">
        <v>110</v>
      </c>
      <c r="D23" s="4"/>
      <c r="E23" s="4"/>
      <c r="F23" s="4"/>
    </row>
    <row r="24" spans="1:6" x14ac:dyDescent="0.25">
      <c r="A24" s="1" t="s">
        <v>2</v>
      </c>
      <c r="D24" s="4"/>
      <c r="E24" s="4"/>
      <c r="F24" s="4"/>
    </row>
    <row r="25" spans="1:6" x14ac:dyDescent="0.25">
      <c r="A25" s="3" t="s">
        <v>1</v>
      </c>
      <c r="D25" s="4"/>
      <c r="E25" s="4"/>
      <c r="F25" s="4"/>
    </row>
    <row r="26" spans="1:6" x14ac:dyDescent="0.25">
      <c r="A26" s="1" t="s">
        <v>34</v>
      </c>
      <c r="D26" s="4"/>
      <c r="E26" s="4"/>
      <c r="F26" s="4"/>
    </row>
    <row r="27" spans="1:6" x14ac:dyDescent="0.25">
      <c r="A27" s="2" t="s">
        <v>6</v>
      </c>
      <c r="B27" s="4"/>
      <c r="C27" s="4"/>
      <c r="D27" s="4"/>
      <c r="E27" s="4"/>
      <c r="F27" s="4"/>
    </row>
    <row r="28" spans="1:6" x14ac:dyDescent="0.25">
      <c r="A28" s="3" t="s">
        <v>109</v>
      </c>
      <c r="D28" s="4"/>
      <c r="E28" s="4"/>
      <c r="F28" s="4"/>
    </row>
    <row r="29" spans="1:6" x14ac:dyDescent="0.25">
      <c r="A29" s="3" t="s">
        <v>35</v>
      </c>
      <c r="D29" s="4"/>
      <c r="E29" s="4"/>
      <c r="F29" s="4"/>
    </row>
    <row r="30" spans="1:6" x14ac:dyDescent="0.25">
      <c r="A30" s="3" t="s">
        <v>36</v>
      </c>
      <c r="D30" s="4"/>
      <c r="E30" s="4"/>
      <c r="F30" s="4"/>
    </row>
    <row r="31" spans="1:6" x14ac:dyDescent="0.25">
      <c r="A31" s="1" t="s">
        <v>37</v>
      </c>
      <c r="D31" s="4"/>
      <c r="E31" s="4"/>
      <c r="F31" s="4"/>
    </row>
    <row r="32" spans="1:6" x14ac:dyDescent="0.25">
      <c r="A32" s="2" t="s">
        <v>47</v>
      </c>
      <c r="B32" s="4"/>
      <c r="C32" s="4"/>
      <c r="D32" s="4"/>
      <c r="E32" s="4"/>
      <c r="F32" s="4"/>
    </row>
    <row r="33" spans="1:6" x14ac:dyDescent="0.25">
      <c r="A33" s="1" t="s">
        <v>10</v>
      </c>
      <c r="D33" s="4"/>
      <c r="E33" s="4"/>
      <c r="F33" s="4"/>
    </row>
    <row r="34" spans="1:6" x14ac:dyDescent="0.25">
      <c r="A34" s="3" t="s">
        <v>38</v>
      </c>
      <c r="D34" s="4"/>
      <c r="E34" s="4"/>
      <c r="F34" s="4"/>
    </row>
  </sheetData>
  <sheetProtection algorithmName="SHA-512" hashValue="8+6mu9Th+h/wdBkeRuY4zp+xQDQrYrMZyXVbPXmg4n69j5rRGYfZaX7c3/VWPB+YyJ3oT+28HoGxKOTlBC0wjw==" saltValue="GAc5LiTutY60EUVjWYEzpQ==" spinCount="100000" sheet="1" objects="1" scenarios="1"/>
  <sortState xmlns:xlrd2="http://schemas.microsoft.com/office/spreadsheetml/2017/richdata2" ref="M2:M11">
    <sortCondition ref="M2"/>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23F65A8625EC945AC473C654B177667" ma:contentTypeVersion="17" ma:contentTypeDescription="Create a new document." ma:contentTypeScope="" ma:versionID="838c4d304601a5e7b258dfd66d839426">
  <xsd:schema xmlns:xsd="http://www.w3.org/2001/XMLSchema" xmlns:xs="http://www.w3.org/2001/XMLSchema" xmlns:p="http://schemas.microsoft.com/office/2006/metadata/properties" xmlns:ns1="http://schemas.microsoft.com/sharepoint/v3" xmlns:ns3="4c2e146b-1c0e-4b72-9ffe-2ec56877f480" xmlns:ns4="81ed4bc6-3b2e-4fdd-a6e2-9a6a8c179f21" targetNamespace="http://schemas.microsoft.com/office/2006/metadata/properties" ma:root="true" ma:fieldsID="be4bf2075d131e7e8f5772a572bc3809" ns1:_="" ns3:_="" ns4:_="">
    <xsd:import namespace="http://schemas.microsoft.com/sharepoint/v3"/>
    <xsd:import namespace="4c2e146b-1c0e-4b72-9ffe-2ec56877f480"/>
    <xsd:import namespace="81ed4bc6-3b2e-4fdd-a6e2-9a6a8c179f21"/>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EventHashCode" minOccurs="0"/>
                <xsd:element ref="ns4:MediaServiceGenerationTime" minOccurs="0"/>
                <xsd:element ref="ns1:_ip_UnifiedCompliancePolicyProperties" minOccurs="0"/>
                <xsd:element ref="ns1:_ip_UnifiedCompliancePolicyUIAction" minOccurs="0"/>
                <xsd:element ref="ns4:MediaServiceAutoKeyPoints" minOccurs="0"/>
                <xsd:element ref="ns4:MediaServiceKeyPoints" minOccurs="0"/>
                <xsd:element ref="ns4: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c2e146b-1c0e-4b72-9ffe-2ec56877f4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81ed4bc6-3b2e-4fdd-a6e2-9a6a8c179f21"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description="" ma:internalName="MediaServiceLocatio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element name="MediaServiceOCR" ma:index="24"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056E976B-4F4A-445B-B346-71D981BFB0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c2e146b-1c0e-4b72-9ffe-2ec56877f480"/>
    <ds:schemaRef ds:uri="81ed4bc6-3b2e-4fdd-a6e2-9a6a8c179f2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5403CC-1B98-467D-955B-76DAC9848785}">
  <ds:schemaRefs>
    <ds:schemaRef ds:uri="http://schemas.microsoft.com/sharepoint/v3/contenttype/forms"/>
  </ds:schemaRefs>
</ds:datastoreItem>
</file>

<file path=customXml/itemProps3.xml><?xml version="1.0" encoding="utf-8"?>
<ds:datastoreItem xmlns:ds="http://schemas.openxmlformats.org/officeDocument/2006/customXml" ds:itemID="{1303904B-9588-4137-82B6-20B19435EC63}">
  <ds:schemaRefs>
    <ds:schemaRef ds:uri="http://schemas.microsoft.com/sharepoint/v3"/>
    <ds:schemaRef ds:uri="http://purl.org/dc/dcmitype/"/>
    <ds:schemaRef ds:uri="81ed4bc6-3b2e-4fdd-a6e2-9a6a8c179f21"/>
    <ds:schemaRef ds:uri="http://www.w3.org/XML/1998/namespace"/>
    <ds:schemaRef ds:uri="http://schemas.microsoft.com/office/2006/documentManagement/types"/>
    <ds:schemaRef ds:uri="http://purl.org/dc/terms/"/>
    <ds:schemaRef ds:uri="http://schemas.microsoft.com/office/infopath/2007/PartnerControls"/>
    <ds:schemaRef ds:uri="http://purl.org/dc/elements/1.1/"/>
    <ds:schemaRef ds:uri="http://schemas.openxmlformats.org/package/2006/metadata/core-properties"/>
    <ds:schemaRef ds:uri="4c2e146b-1c0e-4b72-9ffe-2ec56877f480"/>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Student Comments</vt:lpstr>
      <vt:lpstr>Cover Sheet</vt:lpstr>
      <vt:lpstr>'Cover Sheet'!Print_Area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 Cornish;smagdalinski@nait.ca</dc:creator>
  <cp:lastModifiedBy>Austin</cp:lastModifiedBy>
  <cp:lastPrinted>2019-09-30T01:40:51Z</cp:lastPrinted>
  <dcterms:created xsi:type="dcterms:W3CDTF">2019-09-18T17:19:38Z</dcterms:created>
  <dcterms:modified xsi:type="dcterms:W3CDTF">2022-10-24T20:30:32Z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0x010100D23F65A8625EC945AC473C654B177667</vt:lpwstr>
  </property>
</Properties>
</file>