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744A04E3-001B-4AFB-9E3E-08820DFE344F}" xr6:coauthVersionLast="47" xr6:coauthVersionMax="47" xr10:uidLastSave="{00000000-0000-0000-0000-000000000000}"/>
  <bookViews>
    <workbookView xWindow="-120" yWindow="-120" windowWidth="29040" windowHeight="15840" firstSheet="2" activeTab="2" xr2:uid="{14AFA544-0B4F-4C56-AA5D-03C915348B68}"/>
  </bookViews>
  <sheets>
    <sheet name="Student Comments" sheetId="25" state="hidden" r:id="rId1"/>
    <sheet name="Scoresheet" sheetId="46" state="veryHidden" r:id="rId2"/>
    <sheet name="Cover Sheet" sheetId="21" r:id="rId3"/>
    <sheet name="Sheet3" sheetId="32" state="veryHidden" r:id="rId4"/>
    <sheet name="Question1" sheetId="36" state="veryHidden" r:id="rId5"/>
    <sheet name="Answer1" sheetId="37" state="veryHidden" r:id="rId6"/>
    <sheet name="Question2" sheetId="38" state="veryHidden" r:id="rId7"/>
    <sheet name="Answer2" sheetId="39" state="veryHidden" r:id="rId8"/>
    <sheet name="Question3" sheetId="40" state="veryHidden" r:id="rId9"/>
    <sheet name="Answer3" sheetId="41" state="veryHidden" r:id="rId10"/>
    <sheet name="Question4" sheetId="42" state="veryHidden" r:id="rId11"/>
    <sheet name="Answer4" sheetId="43" state="veryHidden" r:id="rId12"/>
    <sheet name="Question5" sheetId="44" state="veryHidden" r:id="rId13"/>
    <sheet name="Answer5" sheetId="45" state="veryHidden" r:id="rId14"/>
    <sheet name="Configuration" sheetId="23" state="veryHidden" r:id="rId15"/>
    <sheet name="LogDetails" sheetId="24" state="veryHidden" r:id="rId16"/>
    <sheet name="Sheet1" sheetId="51" state="veryHidden" r:id="rId17"/>
    <sheet name="Account List" sheetId="3" state="veryHidden" r:id="rId18"/>
  </sheets>
  <functionGroups builtInGroupCount="19"/>
  <definedNames>
    <definedName name="_xlnm.Print_Area" localSheetId="2">'Cover Sheet'!$A$1:$R$63</definedName>
    <definedName name="solver_typ" localSheetId="2" hidden="1">2</definedName>
    <definedName name="solver_ver" localSheetId="2"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46" l="1"/>
  <c r="A2" i="43" a="1"/>
  <c r="A2" i="39" a="1"/>
  <c r="A2" i="37" a="1"/>
  <c r="A1" i="41" a="1"/>
  <c r="A2" i="45" a="1"/>
  <c r="A2" i="39" l="1"/>
  <c r="D4" i="46" s="1"/>
  <c r="A1" i="41"/>
  <c r="A2" i="43"/>
  <c r="A2" i="37"/>
  <c r="A2" i="45"/>
  <c r="G92" i="21"/>
  <c r="G94" i="21"/>
  <c r="G76" i="21"/>
  <c r="H92" i="21"/>
  <c r="G127" i="21" l="1"/>
  <c r="D7" i="46" l="1"/>
  <c r="D6" i="46"/>
  <c r="D5" i="46"/>
  <c r="G170" i="2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46" i="21"/>
  <c r="H140" i="21"/>
  <c r="H166" i="21"/>
  <c r="H131" i="21"/>
  <c r="H138" i="21"/>
  <c r="H142" i="21"/>
  <c r="H169" i="21"/>
  <c r="H145" i="21"/>
  <c r="H147" i="21"/>
  <c r="H156" i="21"/>
  <c r="H133" i="21"/>
  <c r="H158" i="21"/>
  <c r="H141" i="21"/>
  <c r="H130" i="21"/>
  <c r="H162" i="21"/>
  <c r="H160" i="21"/>
  <c r="H143" i="21"/>
  <c r="H159" i="21"/>
  <c r="H170" i="21"/>
  <c r="H136" i="21"/>
  <c r="H163" i="21"/>
  <c r="H132" i="21"/>
  <c r="H164" i="21"/>
  <c r="H144" i="21"/>
  <c r="H135" i="21"/>
  <c r="H167" i="21"/>
  <c r="H149" i="21"/>
  <c r="G125" i="21" l="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168" i="21"/>
  <c r="H125" i="21"/>
  <c r="H87" i="21"/>
  <c r="H137" i="21"/>
  <c r="H43" i="21"/>
  <c r="H83" i="21"/>
  <c r="H139" i="21"/>
  <c r="H124" i="21"/>
  <c r="H106" i="21"/>
  <c r="H134" i="21"/>
  <c r="H114" i="21"/>
  <c r="H161" i="21"/>
  <c r="H148" i="21"/>
  <c r="H50" i="21"/>
  <c r="H100" i="21"/>
  <c r="H39" i="21"/>
  <c r="H157" i="21"/>
  <c r="H45" i="21"/>
  <c r="H165" i="21"/>
  <c r="G126" i="21" l="1"/>
  <c r="G118" i="21"/>
  <c r="H171" i="21"/>
  <c r="H154" i="21"/>
  <c r="H73" i="21"/>
  <c r="H113" i="21"/>
  <c r="H72" i="21"/>
  <c r="H112" i="21"/>
  <c r="H105" i="21"/>
  <c r="H115" i="21"/>
  <c r="H59" i="21"/>
  <c r="H89" i="21"/>
  <c r="H76" i="21"/>
  <c r="H94" i="21"/>
  <c r="H109" i="21"/>
  <c r="H79" i="21"/>
  <c r="H67" i="21"/>
  <c r="H116" i="21"/>
  <c r="H99" i="21"/>
  <c r="H107" i="21"/>
  <c r="H123" i="21"/>
  <c r="H95" i="21"/>
  <c r="H63" i="21"/>
  <c r="H126" i="21"/>
  <c r="H103" i="21"/>
  <c r="H78" i="21"/>
  <c r="H120" i="21"/>
  <c r="H69" i="21"/>
  <c r="H77" i="21"/>
  <c r="H75" i="21"/>
  <c r="H97" i="21"/>
  <c r="H88" i="21"/>
  <c r="H118" i="21"/>
  <c r="H57" i="21"/>
  <c r="H68" i="21"/>
  <c r="H90" i="21"/>
  <c r="H93" i="21"/>
  <c r="H110" i="21"/>
  <c r="H70" i="21"/>
  <c r="H81" i="21"/>
  <c r="H101" i="21"/>
  <c r="H54" i="21"/>
  <c r="H74" i="21"/>
  <c r="H65" i="21" l="1"/>
  <c r="H127" i="21"/>
  <c r="G84" i="21" l="1"/>
  <c r="G82" i="21"/>
  <c r="H82" i="21"/>
  <c r="G128" i="21" l="1"/>
  <c r="H128" i="21"/>
  <c r="H84" i="21"/>
  <c r="H85" i="21" l="1"/>
  <c r="H129" i="21"/>
  <c r="L27" i="21" l="1"/>
  <c r="I29" i="21" l="1"/>
  <c r="D3" i="46"/>
  <c r="D10" i="4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<sst xmlns="http://schemas.openxmlformats.org/spreadsheetml/2006/main" count="914" uniqueCount="443">
  <si>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</si>
  <si>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</si>
  <si>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</si>
  <si>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</si>
  <si>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</si>
  <si>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</si>
  <si>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</si>
  <si>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</si>
  <si>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</si>
  <si>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</si>
  <si>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</si>
  <si>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</si>
  <si>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</si>
  <si>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</si>
  <si>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</si>
  <si>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</si>
  <si>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</si>
  <si>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</si>
  <si>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</si>
  <si>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</si>
  <si>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</si>
  <si>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</si>
  <si>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</si>
  <si>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</si>
  <si>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</si>
  <si>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</si>
  <si>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</si>
  <si>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</si>
  <si>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</si>
  <si>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</si>
  <si>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</si>
  <si>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</si>
  <si>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</si>
  <si>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</si>
  <si>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</si>
  <si>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</si>
  <si>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</si>
  <si>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</si>
  <si>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</si>
  <si>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</si>
  <si>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</si>
  <si>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</si>
  <si>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</si>
  <si>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</si>
  <si>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</si>
  <si>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</si>
  <si>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</si>
  <si>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</si>
  <si>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</si>
  <si>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</si>
  <si>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</si>
  <si>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</si>
  <si>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</si>
  <si>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</si>
  <si>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</si>
  <si>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</si>
  <si>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</si>
  <si>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</si>
  <si>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</si>
  <si>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</si>
  <si>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</si>
  <si>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</si>
  <si>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</si>
  <si>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</si>
  <si>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</si>
  <si>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</si>
  <si>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</si>
  <si>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</si>
  <si>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</si>
  <si>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</si>
  <si>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</si>
  <si>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</si>
  <si>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</si>
  <si>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</si>
  <si>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</si>
  <si>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</si>
  <si>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</si>
  <si>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</si>
  <si>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</si>
  <si>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</si>
  <si>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</si>
  <si>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</si>
  <si>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</si>
  <si>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</si>
  <si>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</si>
  <si>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</si>
  <si>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</si>
  <si>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</si>
  <si>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</si>
  <si>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</si>
  <si>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</si>
  <si>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</si>
  <si>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</si>
  <si>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</si>
  <si>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</si>
  <si>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</si>
  <si>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</si>
  <si>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</si>
  <si>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</si>
  <si>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</si>
  <si>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</si>
  <si>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</si>
  <si>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</si>
  <si>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</si>
  <si>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</si>
  <si>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</si>
  <si>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</si>
  <si>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</si>
  <si>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</si>
  <si>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</si>
  <si>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</si>
  <si>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</si>
  <si>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</si>
  <si>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</si>
  <si>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</si>
  <si>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</si>
  <si>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</si>
  <si>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</si>
  <si>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</si>
  <si>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</si>
  <si>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</si>
  <si>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</si>
  <si>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</si>
  <si>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</si>
  <si>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</si>
  <si>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</si>
  <si>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</si>
  <si>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</si>
  <si>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</si>
  <si>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</si>
  <si>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</si>
  <si>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</si>
  <si>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</si>
  <si>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</si>
  <si>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</si>
  <si>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</si>
  <si>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</si>
  <si>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</si>
  <si>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</si>
  <si>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</si>
  <si>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</si>
  <si>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</si>
  <si>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</si>
  <si>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</si>
  <si>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</si>
  <si>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</si>
  <si>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</si>
  <si>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</si>
  <si>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</si>
  <si>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</si>
  <si>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</si>
  <si>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</si>
  <si>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</si>
  <si>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</si>
  <si>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</si>
  <si>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DATA 3250</t>
  </si>
  <si>
    <t xml:space="preserve"> Mark Zubis</t>
  </si>
  <si>
    <t xml:space="preserve">SQL Syntax - Columns must be select in the same sequence(order) as they are listed in the questions.  </t>
  </si>
  <si>
    <t>Question 3:   (10 marks)</t>
  </si>
  <si>
    <t>Question 2:  (10 marks)</t>
  </si>
  <si>
    <t>Question 1:  (10 marks)</t>
  </si>
  <si>
    <t>Question 4:  (10 Marks)</t>
  </si>
  <si>
    <t>Copy and paste your answer from the SQL window starting in Cell A5</t>
  </si>
  <si>
    <t xml:space="preserve">SQL Syntax -  include the column headers with your answers.  </t>
  </si>
  <si>
    <t>Copy and paste your answer from the SQL window starting in Cell A5, include the headers (columns names) with your response.  This is done by right clicking on the query results and choosing "Copy with Headers", as per the screen shot.</t>
  </si>
  <si>
    <t>Copy and paste your answer from the SQL window starting in Cell A5.  Include the headers (column names) in your list</t>
  </si>
  <si>
    <t>Database:  AdventureWorks19</t>
  </si>
  <si>
    <t>AssessmentType</t>
  </si>
  <si>
    <t>Totals</t>
  </si>
  <si>
    <t xml:space="preserve">Copy and paste your answer from the SQL window starting in Cell A5.   </t>
  </si>
  <si>
    <t>Include your SQL syntax in cell N3.</t>
  </si>
  <si>
    <t>This Quiz uses the Adventures Works database</t>
  </si>
  <si>
    <t>Tables</t>
  </si>
  <si>
    <t>name</t>
  </si>
  <si>
    <t>Lab</t>
  </si>
  <si>
    <t>Tables:</t>
  </si>
  <si>
    <t>[Production].[Location]</t>
  </si>
  <si>
    <t xml:space="preserve">This spreadsheet inlcudes the auto grade assist algorithms developed by Mark Zubis.   This file will time out at the end of each academic term.  
Students should move there work to another file if they choose to save it beyond this academic term.  </t>
  </si>
  <si>
    <t>Name</t>
  </si>
  <si>
    <t>Question 5:  (10 Marks)</t>
  </si>
  <si>
    <t>Format date fields to a date in Excel.
  They at times do not copy and paste properly.</t>
  </si>
  <si>
    <r>
      <t>from</t>
    </r>
    <r>
      <rPr>
        <sz val="7"/>
        <color rgb="FF212121"/>
        <rFont val="Consolas"/>
        <family val="3"/>
      </rPr>
      <t> sales.SalesOrderHeader soh</t>
    </r>
  </si>
  <si>
    <r>
      <t>inner join</t>
    </r>
    <r>
      <rPr>
        <sz val="7"/>
        <color rgb="FF212121"/>
        <rFont val="Consolas"/>
        <family val="3"/>
      </rPr>
      <t>  [Sales].[SalesOrderDetail] sod </t>
    </r>
    <r>
      <rPr>
        <sz val="7"/>
        <color rgb="FF0000FF"/>
        <rFont val="Consolas"/>
        <family val="3"/>
      </rPr>
      <t>on</t>
    </r>
  </si>
  <si>
    <r>
      <t>sod.SalesOrderID</t>
    </r>
    <r>
      <rPr>
        <sz val="7"/>
        <color rgb="FF000000"/>
        <rFont val="Consolas"/>
        <family val="3"/>
      </rPr>
      <t>=</t>
    </r>
    <r>
      <rPr>
        <sz val="7"/>
        <color rgb="FF212121"/>
        <rFont val="Consolas"/>
        <family val="3"/>
      </rPr>
      <t>soh.SalesOrderID</t>
    </r>
  </si>
  <si>
    <r>
      <t>inner join</t>
    </r>
    <r>
      <rPr>
        <sz val="7"/>
        <color rgb="FF212121"/>
        <rFont val="Consolas"/>
        <family val="3"/>
      </rPr>
      <t> production.Product </t>
    </r>
    <r>
      <rPr>
        <sz val="7"/>
        <color rgb="FF0000FF"/>
        <rFont val="Consolas"/>
        <family val="3"/>
      </rPr>
      <t>ON</t>
    </r>
  </si>
  <si>
    <r>
      <t>product.ProductID</t>
    </r>
    <r>
      <rPr>
        <sz val="7"/>
        <color rgb="FF000000"/>
        <rFont val="Consolas"/>
        <family val="3"/>
      </rPr>
      <t>=</t>
    </r>
    <r>
      <rPr>
        <sz val="7"/>
        <color rgb="FF212121"/>
        <rFont val="Consolas"/>
        <family val="3"/>
      </rPr>
      <t>sod.ProductID</t>
    </r>
  </si>
  <si>
    <t>HL Road Frame - Black, 58</t>
  </si>
  <si>
    <t>HL Road Frame - Red, 58</t>
  </si>
  <si>
    <t>HL Road Frame - Red, 52</t>
  </si>
  <si>
    <t>HL Road Frame - Red, 56</t>
  </si>
  <si>
    <t>LL Road Frame - Black, 62</t>
  </si>
  <si>
    <t>LL Road Frame - Red, 58</t>
  </si>
  <si>
    <t>ML Road Frame - Red, 44</t>
  </si>
  <si>
    <t>ML Road Frame - Red, 58</t>
  </si>
  <si>
    <t>ML Road Frame - Red, 60</t>
  </si>
  <si>
    <t>LL Road Frame - Black, 48</t>
  </si>
  <si>
    <t>ML Road Frame-W - Yellow, 42</t>
  </si>
  <si>
    <t>HL Road Frame - Black, 62</t>
  </si>
  <si>
    <t>HL Road Frame - Black, 52</t>
  </si>
  <si>
    <t>Fork End</t>
  </si>
  <si>
    <t>production.Product
sales.SalesOrderHeader
 [Sales].[SalesOrderDetail] </t>
  </si>
  <si>
    <t>Possible Tables</t>
  </si>
  <si>
    <t>Lab 5</t>
  </si>
  <si>
    <t xml:space="preserve">Create a list of product information  on product sub category "Mountain Bikes".  Include product name, average sales line amount as AvgSaleLineAmount , 
sum of order quantiy as TotalOrderQuanity, and AverageDiscount.  Order the result set alphabetically by name.  </t>
  </si>
  <si>
    <t>AvgSaleLineAmount</t>
  </si>
  <si>
    <t>TotalOrderQuanity</t>
  </si>
  <si>
    <t>AverageDiscount</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</si>
  <si>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</si>
  <si>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</si>
  <si>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</si>
  <si>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</si>
  <si>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</si>
  <si>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</si>
  <si>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</si>
  <si>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</si>
  <si>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</si>
  <si>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</si>
  <si>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</si>
  <si>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</si>
  <si>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</si>
  <si>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</si>
  <si>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Mountain-300 Black, 38</t>
  </si>
  <si>
    <t>Mountain-300 Black, 40</t>
  </si>
  <si>
    <t>Mountain-300 Black, 44</t>
  </si>
  <si>
    <t>Mountain-300 Black, 48</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</si>
  <si>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</si>
  <si>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</si>
  <si>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</si>
  <si>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</si>
  <si>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</si>
  <si>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</si>
  <si>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</si>
  <si>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</si>
  <si>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</si>
  <si>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</si>
  <si>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</si>
  <si>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</si>
  <si>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</si>
  <si>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</si>
  <si>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r>
      <t>select</t>
    </r>
    <r>
      <rPr>
        <sz val="7"/>
        <color rgb="FF212121"/>
        <rFont val="Consolas"/>
        <family val="3"/>
      </rPr>
      <t> depart.name,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 </t>
    </r>
    <r>
      <rPr>
        <sz val="7"/>
        <color rgb="FF0000FF"/>
        <rFont val="Consolas"/>
        <family val="3"/>
      </rPr>
      <t>as</t>
    </r>
    <r>
      <rPr>
        <sz val="7"/>
        <color rgb="FF212121"/>
        <rFont val="Consolas"/>
        <family val="3"/>
      </rPr>
      <t> EmployeeCount</t>
    </r>
  </si>
  <si>
    <r>
      <t>from</t>
    </r>
    <r>
      <rPr>
        <sz val="7"/>
        <color rgb="FF212121"/>
        <rFont val="Consolas"/>
        <family val="3"/>
      </rPr>
      <t> [HumanResources].[EmployeeDepartmentHistory] Epd  </t>
    </r>
  </si>
  <si>
    <r>
      <t>inner join</t>
    </r>
    <r>
      <rPr>
        <sz val="7"/>
        <color rgb="FF212121"/>
        <rFont val="Consolas"/>
        <family val="3"/>
      </rPr>
      <t> [HumanResources].[Department] depart </t>
    </r>
    <r>
      <rPr>
        <sz val="7"/>
        <color rgb="FF0000FF"/>
        <rFont val="Consolas"/>
        <family val="3"/>
      </rPr>
      <t>ON</t>
    </r>
  </si>
  <si>
    <r>
      <t>depart.DepartmentID</t>
    </r>
    <r>
      <rPr>
        <sz val="7"/>
        <color rgb="FF000000"/>
        <rFont val="Consolas"/>
        <family val="3"/>
      </rPr>
      <t>=</t>
    </r>
    <r>
      <rPr>
        <sz val="7"/>
        <color rgb="FF212121"/>
        <rFont val="Consolas"/>
        <family val="3"/>
      </rPr>
      <t>epd.DepartmentID</t>
    </r>
  </si>
  <si>
    <r>
      <t>where</t>
    </r>
    <r>
      <rPr>
        <sz val="7"/>
        <color rgb="FF212121"/>
        <rFont val="Consolas"/>
        <family val="3"/>
      </rPr>
      <t> enddate </t>
    </r>
    <r>
      <rPr>
        <sz val="7"/>
        <color rgb="FF0000FF"/>
        <rFont val="Consolas"/>
        <family val="3"/>
      </rPr>
      <t>is</t>
    </r>
    <r>
      <rPr>
        <sz val="7"/>
        <color rgb="FF212121"/>
        <rFont val="Consolas"/>
        <family val="3"/>
      </rPr>
      <t>  </t>
    </r>
    <r>
      <rPr>
        <sz val="7"/>
        <color rgb="FF0000FF"/>
        <rFont val="Consolas"/>
        <family val="3"/>
      </rPr>
      <t>null</t>
    </r>
  </si>
  <si>
    <r>
      <t>group by</t>
    </r>
    <r>
      <rPr>
        <sz val="7"/>
        <color rgb="FF212121"/>
        <rFont val="Consolas"/>
        <family val="3"/>
      </rPr>
      <t> depart.name</t>
    </r>
  </si>
  <si>
    <t>EmployeeCount</t>
  </si>
  <si>
    <t>Engineering</t>
  </si>
  <si>
    <t>Tool Design</t>
  </si>
  <si>
    <t>Sales</t>
  </si>
  <si>
    <t>Marketing</t>
  </si>
  <si>
    <t>Purchasing</t>
  </si>
  <si>
    <t>Research and Development</t>
  </si>
  <si>
    <t>Production</t>
  </si>
  <si>
    <t>Production Control</t>
  </si>
  <si>
    <t>Human Resources</t>
  </si>
  <si>
    <t>Finance</t>
  </si>
  <si>
    <t>Information Services</t>
  </si>
  <si>
    <t>Document Control</t>
  </si>
  <si>
    <t>Quality Assurance</t>
  </si>
  <si>
    <t>Facilities and Maintenance</t>
  </si>
  <si>
    <t>Shipping and Receiving</t>
  </si>
  <si>
    <t>Executive</t>
  </si>
  <si>
    <r>
      <t>select</t>
    </r>
    <r>
      <rPr>
        <sz val="7"/>
        <color rgb="FF212121"/>
        <rFont val="Consolas"/>
        <family val="3"/>
      </rPr>
      <t> product.Name, </t>
    </r>
    <r>
      <rPr>
        <sz val="7"/>
        <color rgb="FF795E26"/>
        <rFont val="Consolas"/>
        <family val="3"/>
      </rPr>
      <t>avg</t>
    </r>
    <r>
      <rPr>
        <sz val="7"/>
        <color rgb="FF212121"/>
        <rFont val="Consolas"/>
        <family val="3"/>
      </rPr>
      <t>(sod.[OrderQty] </t>
    </r>
    <r>
      <rPr>
        <sz val="7"/>
        <color rgb="FF000000"/>
        <rFont val="Consolas"/>
        <family val="3"/>
      </rPr>
      <t>*</t>
    </r>
    <r>
      <rPr>
        <sz val="7"/>
        <color rgb="FF212121"/>
        <rFont val="Consolas"/>
        <family val="3"/>
      </rPr>
      <t> sod.[UnitPrice] </t>
    </r>
    <r>
      <rPr>
        <sz val="7"/>
        <color rgb="FF000000"/>
        <rFont val="Consolas"/>
        <family val="3"/>
      </rPr>
      <t>*</t>
    </r>
    <r>
      <rPr>
        <sz val="7"/>
        <color rgb="FF212121"/>
        <rFont val="Consolas"/>
        <family val="3"/>
      </rPr>
      <t> </t>
    </r>
    <r>
      <rPr>
        <sz val="7"/>
        <color rgb="FF09885A"/>
        <rFont val="Consolas"/>
        <family val="3"/>
      </rPr>
      <t>1</t>
    </r>
    <r>
      <rPr>
        <sz val="7"/>
        <color rgb="FF000000"/>
        <rFont val="Consolas"/>
        <family val="3"/>
      </rPr>
      <t>-</t>
    </r>
    <r>
      <rPr>
        <sz val="7"/>
        <color rgb="FF212121"/>
        <rFont val="Consolas"/>
        <family val="3"/>
      </rPr>
      <t>sod.[UnitPriceDiscount]) </t>
    </r>
    <r>
      <rPr>
        <sz val="7"/>
        <color rgb="FF0000FF"/>
        <rFont val="Consolas"/>
        <family val="3"/>
      </rPr>
      <t>as</t>
    </r>
    <r>
      <rPr>
        <sz val="7"/>
        <color rgb="FF212121"/>
        <rFont val="Consolas"/>
        <family val="3"/>
      </rPr>
      <t> AvgSaleLineAmount , </t>
    </r>
  </si>
  <si>
    <r>
      <t>sum</t>
    </r>
    <r>
      <rPr>
        <sz val="7"/>
        <color rgb="FF212121"/>
        <rFont val="Consolas"/>
        <family val="3"/>
      </rPr>
      <t>(OrderQty) </t>
    </r>
    <r>
      <rPr>
        <sz val="7"/>
        <color rgb="FF0000FF"/>
        <rFont val="Consolas"/>
        <family val="3"/>
      </rPr>
      <t>as</t>
    </r>
    <r>
      <rPr>
        <sz val="7"/>
        <color rgb="FF212121"/>
        <rFont val="Consolas"/>
        <family val="3"/>
      </rPr>
      <t> TotalOrderQuanity, </t>
    </r>
    <r>
      <rPr>
        <sz val="7"/>
        <color rgb="FF795E26"/>
        <rFont val="Consolas"/>
        <family val="3"/>
      </rPr>
      <t>avg</t>
    </r>
    <r>
      <rPr>
        <sz val="7"/>
        <color rgb="FF212121"/>
        <rFont val="Consolas"/>
        <family val="3"/>
      </rPr>
      <t>(UnitPriceDiscount) AverageDiscount</t>
    </r>
  </si>
  <si>
    <r>
      <t>where</t>
    </r>
    <r>
      <rPr>
        <sz val="7"/>
        <color rgb="FF212121"/>
        <rFont val="Consolas"/>
        <family val="3"/>
      </rPr>
      <t>   ProductSubcategoryID</t>
    </r>
    <r>
      <rPr>
        <sz val="7"/>
        <color rgb="FF000000"/>
        <rFont val="Consolas"/>
        <family val="3"/>
      </rPr>
      <t>=</t>
    </r>
    <r>
      <rPr>
        <sz val="7"/>
        <color rgb="FF09885A"/>
        <rFont val="Consolas"/>
        <family val="3"/>
      </rPr>
      <t>1</t>
    </r>
  </si>
  <si>
    <r>
      <t>group by</t>
    </r>
    <r>
      <rPr>
        <sz val="7"/>
        <color rgb="FF212121"/>
        <rFont val="Consolas"/>
        <family val="3"/>
      </rPr>
      <t> product.Name</t>
    </r>
  </si>
  <si>
    <r>
      <t>order by</t>
    </r>
    <r>
      <rPr>
        <sz val="7"/>
        <color rgb="FF212121"/>
        <rFont val="Consolas"/>
        <family val="3"/>
      </rPr>
      <t> </t>
    </r>
    <r>
      <rPr>
        <sz val="7"/>
        <color rgb="FF0000FF"/>
        <rFont val="Consolas"/>
        <family val="3"/>
      </rPr>
      <t>name</t>
    </r>
    <r>
      <rPr>
        <sz val="7"/>
        <color rgb="FF212121"/>
        <rFont val="Consolas"/>
        <family val="3"/>
      </rPr>
      <t> </t>
    </r>
  </si>
  <si>
    <t>productnumber</t>
  </si>
  <si>
    <t>TotalOrdered</t>
  </si>
  <si>
    <t>TotalScrapped</t>
  </si>
  <si>
    <t>BB Ball Bearing</t>
  </si>
  <si>
    <t>BE-2349</t>
  </si>
  <si>
    <t>Seat Stays</t>
  </si>
  <si>
    <t>SS-2985</t>
  </si>
  <si>
    <t>Blade</t>
  </si>
  <si>
    <t>BL-2036</t>
  </si>
  <si>
    <t>FE-3760</t>
  </si>
  <si>
    <t>Chain Stays</t>
  </si>
  <si>
    <t>CS-2812</t>
  </si>
  <si>
    <t>Fork Crown</t>
  </si>
  <si>
    <t>FC-3654</t>
  </si>
  <si>
    <t>Steerer</t>
  </si>
  <si>
    <t>SR-2098</t>
  </si>
  <si>
    <t>Seat Tube</t>
  </si>
  <si>
    <t>ST-9828</t>
  </si>
  <si>
    <t>Top Tube</t>
  </si>
  <si>
    <t>TO-2301</t>
  </si>
  <si>
    <t>Head Tube</t>
  </si>
  <si>
    <t>HT-8019</t>
  </si>
  <si>
    <t>Down Tube</t>
  </si>
  <si>
    <t>DT-2377</t>
  </si>
  <si>
    <t>Stem</t>
  </si>
  <si>
    <t>SM-9087</t>
  </si>
  <si>
    <t>ML Crankset</t>
  </si>
  <si>
    <t>CS-6583</t>
  </si>
  <si>
    <r>
      <t>select</t>
    </r>
    <r>
      <rPr>
        <sz val="7"/>
        <color rgb="FF212121"/>
        <rFont val="Consolas"/>
        <family val="3"/>
      </rPr>
      <t> pr.name, pr.productnumber ,   </t>
    </r>
    <r>
      <rPr>
        <sz val="7"/>
        <color rgb="FF795E26"/>
        <rFont val="Consolas"/>
        <family val="3"/>
      </rPr>
      <t>sum</t>
    </r>
    <r>
      <rPr>
        <sz val="7"/>
        <color rgb="FF212121"/>
        <rFont val="Consolas"/>
        <family val="3"/>
      </rPr>
      <t>(wo.OrderQty) </t>
    </r>
    <r>
      <rPr>
        <sz val="7"/>
        <color rgb="FF0000FF"/>
        <rFont val="Consolas"/>
        <family val="3"/>
      </rPr>
      <t>as</t>
    </r>
    <r>
      <rPr>
        <sz val="7"/>
        <color rgb="FF212121"/>
        <rFont val="Consolas"/>
        <family val="3"/>
      </rPr>
      <t> TotalOrdered,  </t>
    </r>
    <r>
      <rPr>
        <sz val="7"/>
        <color rgb="FF795E26"/>
        <rFont val="Consolas"/>
        <family val="3"/>
      </rPr>
      <t>sum</t>
    </r>
    <r>
      <rPr>
        <sz val="7"/>
        <color rgb="FF212121"/>
        <rFont val="Consolas"/>
        <family val="3"/>
      </rPr>
      <t>(   wo.ScrappedQty) </t>
    </r>
    <r>
      <rPr>
        <sz val="7"/>
        <color rgb="FF0000FF"/>
        <rFont val="Consolas"/>
        <family val="3"/>
      </rPr>
      <t>as</t>
    </r>
    <r>
      <rPr>
        <sz val="7"/>
        <color rgb="FF212121"/>
        <rFont val="Consolas"/>
        <family val="3"/>
      </rPr>
      <t> TotalScrapped</t>
    </r>
  </si>
  <si>
    <r>
      <t>from</t>
    </r>
    <r>
      <rPr>
        <sz val="7"/>
        <color rgb="FF212121"/>
        <rFont val="Consolas"/>
        <family val="3"/>
      </rPr>
      <t>    [Production].[Product] pr</t>
    </r>
  </si>
  <si>
    <r>
      <t>inner join</t>
    </r>
    <r>
      <rPr>
        <sz val="7"/>
        <color rgb="FF212121"/>
        <rFont val="Consolas"/>
        <family val="3"/>
      </rPr>
      <t> [Production].[WorkOrder] wo </t>
    </r>
    <r>
      <rPr>
        <sz val="7"/>
        <color rgb="FF0000FF"/>
        <rFont val="Consolas"/>
        <family val="3"/>
      </rPr>
      <t>on</t>
    </r>
    <r>
      <rPr>
        <sz val="7"/>
        <color rgb="FF212121"/>
        <rFont val="Consolas"/>
        <family val="3"/>
      </rPr>
      <t> </t>
    </r>
  </si>
  <si>
    <r>
      <t>pr.productid</t>
    </r>
    <r>
      <rPr>
        <sz val="7"/>
        <color rgb="FF000000"/>
        <rFont val="Consolas"/>
        <family val="3"/>
      </rPr>
      <t>=</t>
    </r>
    <r>
      <rPr>
        <sz val="7"/>
        <color rgb="FF212121"/>
        <rFont val="Consolas"/>
        <family val="3"/>
      </rPr>
      <t>wo.productid</t>
    </r>
  </si>
  <si>
    <r>
      <t>group by</t>
    </r>
    <r>
      <rPr>
        <sz val="7"/>
        <color rgb="FF212121"/>
        <rFont val="Consolas"/>
        <family val="3"/>
      </rPr>
      <t> pr.name, pr.productnumber </t>
    </r>
  </si>
  <si>
    <r>
      <t>having</t>
    </r>
    <r>
      <rPr>
        <sz val="7"/>
        <color rgb="FF212121"/>
        <rFont val="Consolas"/>
        <family val="3"/>
      </rPr>
      <t> </t>
    </r>
    <r>
      <rPr>
        <sz val="7"/>
        <color rgb="FF795E26"/>
        <rFont val="Consolas"/>
        <family val="3"/>
      </rPr>
      <t>sum</t>
    </r>
    <r>
      <rPr>
        <sz val="7"/>
        <color rgb="FF212121"/>
        <rFont val="Consolas"/>
        <family val="3"/>
      </rPr>
      <t>(   wo.ScrappedQty) </t>
    </r>
    <r>
      <rPr>
        <sz val="7"/>
        <color rgb="FF000000"/>
        <rFont val="Consolas"/>
        <family val="3"/>
      </rPr>
      <t>&gt;</t>
    </r>
    <r>
      <rPr>
        <sz val="7"/>
        <color rgb="FF212121"/>
        <rFont val="Consolas"/>
        <family val="3"/>
      </rPr>
      <t> </t>
    </r>
    <r>
      <rPr>
        <sz val="7"/>
        <color rgb="FF09885A"/>
        <rFont val="Consolas"/>
        <family val="3"/>
      </rPr>
      <t>200</t>
    </r>
  </si>
  <si>
    <r>
      <t>order by</t>
    </r>
    <r>
      <rPr>
        <sz val="7"/>
        <color rgb="FF212121"/>
        <rFont val="Consolas"/>
        <family val="3"/>
      </rPr>
      <t> totalOrdered </t>
    </r>
    <r>
      <rPr>
        <sz val="7"/>
        <color rgb="FF0000FF"/>
        <rFont val="Consolas"/>
        <family val="3"/>
      </rPr>
      <t>desc</t>
    </r>
  </si>
  <si>
    <r>
      <t>select</t>
    </r>
    <r>
      <rPr>
        <sz val="7"/>
        <color rgb="FF212121"/>
        <rFont val="Consolas"/>
        <family val="3"/>
      </rPr>
      <t> pr.name, pr.productnumber,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 ListPriceChangeCount, </t>
    </r>
    <r>
      <rPr>
        <sz val="7"/>
        <color rgb="FF795E26"/>
        <rFont val="Consolas"/>
        <family val="3"/>
      </rPr>
      <t>max</t>
    </r>
    <r>
      <rPr>
        <sz val="7"/>
        <color rgb="FF212121"/>
        <rFont val="Consolas"/>
        <family val="3"/>
      </rPr>
      <t>(pph.[ModifiedDate]) </t>
    </r>
    <r>
      <rPr>
        <sz val="7"/>
        <color rgb="FF0000FF"/>
        <rFont val="Consolas"/>
        <family val="3"/>
      </rPr>
      <t>as</t>
    </r>
    <r>
      <rPr>
        <sz val="7"/>
        <color rgb="FF212121"/>
        <rFont val="Consolas"/>
        <family val="3"/>
      </rPr>
      <t> ListPriceChangeDate</t>
    </r>
  </si>
  <si>
    <r>
      <t>from</t>
    </r>
    <r>
      <rPr>
        <sz val="7"/>
        <color rgb="FF212121"/>
        <rFont val="Consolas"/>
        <family val="3"/>
      </rPr>
      <t> [Production].[Product] pr</t>
    </r>
  </si>
  <si>
    <r>
      <t>left join</t>
    </r>
    <r>
      <rPr>
        <sz val="7"/>
        <color rgb="FF212121"/>
        <rFont val="Consolas"/>
        <family val="3"/>
      </rPr>
      <t>   [Production].[ProductListPriceHistory] pph </t>
    </r>
    <r>
      <rPr>
        <sz val="7"/>
        <color rgb="FF0000FF"/>
        <rFont val="Consolas"/>
        <family val="3"/>
      </rPr>
      <t>ON</t>
    </r>
  </si>
  <si>
    <r>
      <t>pph.productid</t>
    </r>
    <r>
      <rPr>
        <sz val="7"/>
        <color rgb="FF000000"/>
        <rFont val="Consolas"/>
        <family val="3"/>
      </rPr>
      <t>=</t>
    </r>
    <r>
      <rPr>
        <sz val="7"/>
        <color rgb="FF212121"/>
        <rFont val="Consolas"/>
        <family val="3"/>
      </rPr>
      <t>pr.productid</t>
    </r>
  </si>
  <si>
    <r>
      <t>where</t>
    </r>
    <r>
      <rPr>
        <sz val="7"/>
        <color rgb="FF212121"/>
        <rFont val="Consolas"/>
        <family val="3"/>
      </rPr>
      <t> ProductSubcategoryID</t>
    </r>
    <r>
      <rPr>
        <sz val="7"/>
        <color rgb="FF000000"/>
        <rFont val="Consolas"/>
        <family val="3"/>
      </rPr>
      <t>=</t>
    </r>
    <r>
      <rPr>
        <sz val="7"/>
        <color rgb="FF09885A"/>
        <rFont val="Consolas"/>
        <family val="3"/>
      </rPr>
      <t>14</t>
    </r>
  </si>
  <si>
    <r>
      <t>group by</t>
    </r>
    <r>
      <rPr>
        <sz val="7"/>
        <color rgb="FF212121"/>
        <rFont val="Consolas"/>
        <family val="3"/>
      </rPr>
      <t> pr.name, pr.productnumber, ProductSubcategoryID</t>
    </r>
  </si>
  <si>
    <r>
      <t>order by</t>
    </r>
    <r>
      <rPr>
        <sz val="7"/>
        <color rgb="FF212121"/>
        <rFont val="Consolas"/>
        <family val="3"/>
      </rPr>
      <t> </t>
    </r>
    <r>
      <rPr>
        <sz val="7"/>
        <color rgb="FF0000FF"/>
        <rFont val="Consolas"/>
        <family val="3"/>
      </rPr>
      <t>name</t>
    </r>
  </si>
  <si>
    <t>ListPriceChangeCount</t>
  </si>
  <si>
    <t>ListPriceChangeDate</t>
  </si>
  <si>
    <t>HL Road Frame - Black, 44</t>
  </si>
  <si>
    <t>FR-R92B-44</t>
  </si>
  <si>
    <t>HL Road Frame - Black, 48</t>
  </si>
  <si>
    <t>FR-R92B-48</t>
  </si>
  <si>
    <t>FR-R92B-52</t>
  </si>
  <si>
    <t>FR-R92B-58</t>
  </si>
  <si>
    <t>NULL</t>
  </si>
  <si>
    <t>FR-R92B-62</t>
  </si>
  <si>
    <t>HL Road Frame - Red, 44</t>
  </si>
  <si>
    <t>FR-R92R-44</t>
  </si>
  <si>
    <t>HL Road Frame - Red, 48</t>
  </si>
  <si>
    <t>FR-R92R-48</t>
  </si>
  <si>
    <t>FR-R92R-52</t>
  </si>
  <si>
    <t>FR-R92R-56</t>
  </si>
  <si>
    <t>FR-R92R-58</t>
  </si>
  <si>
    <t>HL Road Frame - Red, 62</t>
  </si>
  <si>
    <t>FR-R92R-62</t>
  </si>
  <si>
    <t>LL Road Frame - Black, 44</t>
  </si>
  <si>
    <t>FR-R38B-44</t>
  </si>
  <si>
    <t>FR-R38B-48</t>
  </si>
  <si>
    <t>LL Road Frame - Black, 52</t>
  </si>
  <si>
    <t>FR-R38B-52</t>
  </si>
  <si>
    <t>LL Road Frame - Black, 58</t>
  </si>
  <si>
    <t>FR-R38B-58</t>
  </si>
  <si>
    <t>LL Road Frame - Black, 60</t>
  </si>
  <si>
    <t>FR-R38B-60</t>
  </si>
  <si>
    <t>FR-R38B-62</t>
  </si>
  <si>
    <t>LL Road Frame - Red, 44</t>
  </si>
  <si>
    <t>FR-R38R-44</t>
  </si>
  <si>
    <t>LL Road Frame - Red, 48</t>
  </si>
  <si>
    <t>FR-R38R-48</t>
  </si>
  <si>
    <t>LL Road Frame - Red, 52</t>
  </si>
  <si>
    <t>FR-R38R-52</t>
  </si>
  <si>
    <t>FR-R38R-58</t>
  </si>
  <si>
    <t>LL Road Frame - Red, 60</t>
  </si>
  <si>
    <t>FR-R38R-60</t>
  </si>
  <si>
    <t>LL Road Frame - Red, 62</t>
  </si>
  <si>
    <t>FR-R38R-62</t>
  </si>
  <si>
    <t>FR-R72R-44</t>
  </si>
  <si>
    <t>ML Road Frame - Red, 48</t>
  </si>
  <si>
    <t>FR-R72R-48</t>
  </si>
  <si>
    <t>ML Road Frame - Red, 52</t>
  </si>
  <si>
    <t>FR-R72R-52</t>
  </si>
  <si>
    <t>FR-R72R-58</t>
  </si>
  <si>
    <t>FR-R72R-60</t>
  </si>
  <si>
    <t>ML Road Frame-W - Yellow, 38</t>
  </si>
  <si>
    <t>FR-R72Y-38</t>
  </si>
  <si>
    <t>ML Road Frame-W - Yellow, 40</t>
  </si>
  <si>
    <t>FR-R72Y-40</t>
  </si>
  <si>
    <t>FR-R72Y-42</t>
  </si>
  <si>
    <t>ML Road Frame-W - Yellow, 44</t>
  </si>
  <si>
    <t>FR-R72Y-44</t>
  </si>
  <si>
    <t>ML Road Frame-W - Yellow, 48</t>
  </si>
  <si>
    <t>FR-R72Y-48</t>
  </si>
  <si>
    <t xml:space="preserve">List the product name, productnumber , count of the number of times the list price has changed (ListPriceChangeCount) along with the last date the list price changed  (ListPriceChangeDate) for products in sub category 'Road Frames' (14).  Order the resultset by name alphabetically.  A left join is required for this sql query.  
</t>
  </si>
  <si>
    <r>
      <t>select</t>
    </r>
    <r>
      <rPr>
        <sz val="7"/>
        <color rgb="FF212121"/>
        <rFont val="Consolas"/>
        <family val="3"/>
      </rPr>
      <t>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 OrderCount </t>
    </r>
    <r>
      <rPr>
        <sz val="7"/>
        <color rgb="FF0000FF"/>
        <rFont val="Consolas"/>
        <family val="3"/>
      </rPr>
      <t>from</t>
    </r>
    <r>
      <rPr>
        <sz val="7"/>
        <color rgb="FF212121"/>
        <rFont val="Consolas"/>
        <family val="3"/>
      </rPr>
      <t> </t>
    </r>
  </si>
  <si>
    <r>
      <t>(</t>
    </r>
    <r>
      <rPr>
        <sz val="7"/>
        <color rgb="FF0000FF"/>
        <rFont val="Consolas"/>
        <family val="3"/>
      </rPr>
      <t>select</t>
    </r>
    <r>
      <rPr>
        <sz val="7"/>
        <color rgb="FF212121"/>
        <rFont val="Consolas"/>
        <family val="3"/>
      </rPr>
      <t> salesorderid,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 ) </t>
    </r>
    <r>
      <rPr>
        <sz val="7"/>
        <color rgb="FF0000FF"/>
        <rFont val="Consolas"/>
        <family val="3"/>
      </rPr>
      <t>as</t>
    </r>
    <r>
      <rPr>
        <sz val="7"/>
        <color rgb="FF212121"/>
        <rFont val="Consolas"/>
        <family val="3"/>
      </rPr>
      <t> orderdetailCount</t>
    </r>
  </si>
  <si>
    <r>
      <t>from</t>
    </r>
    <r>
      <rPr>
        <sz val="7"/>
        <color rgb="FF212121"/>
        <rFont val="Consolas"/>
        <family val="3"/>
      </rPr>
      <t> sales.salesorderdetail </t>
    </r>
  </si>
  <si>
    <r>
      <t>group by</t>
    </r>
    <r>
      <rPr>
        <sz val="7"/>
        <color rgb="FF212121"/>
        <rFont val="Consolas"/>
        <family val="3"/>
      </rPr>
      <t> salesorderid</t>
    </r>
  </si>
  <si>
    <r>
      <t>having</t>
    </r>
    <r>
      <rPr>
        <sz val="7"/>
        <color rgb="FF212121"/>
        <rFont val="Consolas"/>
        <family val="3"/>
      </rPr>
      <t>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 </t>
    </r>
    <r>
      <rPr>
        <sz val="7"/>
        <color rgb="FF0000FF"/>
        <rFont val="Consolas"/>
        <family val="3"/>
      </rPr>
      <t>between</t>
    </r>
    <r>
      <rPr>
        <sz val="7"/>
        <color rgb="FF212121"/>
        <rFont val="Consolas"/>
        <family val="3"/>
      </rPr>
      <t> </t>
    </r>
    <r>
      <rPr>
        <sz val="7"/>
        <color rgb="FF09885A"/>
        <rFont val="Consolas"/>
        <family val="3"/>
      </rPr>
      <t>10</t>
    </r>
    <r>
      <rPr>
        <sz val="7"/>
        <color rgb="FF212121"/>
        <rFont val="Consolas"/>
        <family val="3"/>
      </rPr>
      <t> </t>
    </r>
    <r>
      <rPr>
        <sz val="7"/>
        <color rgb="FF0000FF"/>
        <rFont val="Consolas"/>
        <family val="3"/>
      </rPr>
      <t>and</t>
    </r>
    <r>
      <rPr>
        <sz val="7"/>
        <color rgb="FF212121"/>
        <rFont val="Consolas"/>
        <family val="3"/>
      </rPr>
      <t> </t>
    </r>
    <r>
      <rPr>
        <sz val="7"/>
        <color rgb="FF09885A"/>
        <rFont val="Consolas"/>
        <family val="3"/>
      </rPr>
      <t>20</t>
    </r>
    <r>
      <rPr>
        <sz val="7"/>
        <color rgb="FF212121"/>
        <rFont val="Consolas"/>
        <family val="3"/>
      </rPr>
      <t>) orderdetailCount</t>
    </r>
  </si>
  <si>
    <t>OrderCount</t>
  </si>
  <si>
    <t xml:space="preserve">Create a list of product information  and their respective workorders.  Include product name, number, the total order quantity (TotalOrdered)
along with the total scrapped quantity (TotalScrapped) for products that have had at 200 or more units scrapped.  Order your result se TotalOrdered desc.  </t>
  </si>
  <si>
    <t xml:space="preserve">Return a result set of deparment names (DepartmentName) along with their respective counts of employees (EmployeeCount).  
Order the resultset by deparment name.  </t>
  </si>
  <si>
    <t>Cover Sheet - 1:1048576</t>
  </si>
  <si>
    <t>How many sales orders have 10 to 20 items on it.  Label this value OrderCount</t>
  </si>
  <si>
    <r>
      <t>Order by</t>
    </r>
    <r>
      <rPr>
        <sz val="7"/>
        <color rgb="FF212121"/>
        <rFont val="Consolas"/>
        <family val="3"/>
      </rPr>
      <t xml:space="preserve">  depart.name</t>
    </r>
  </si>
  <si>
    <t>Access to anything other  than this excel file and moodle is prohibited. Any attempt to copy and paste from other files will be tracked and will result in a grade of zero.</t>
  </si>
  <si>
    <t>6013CF2-366F-132-35D2-38B85F3</t>
  </si>
  <si>
    <t>Cover Sheet - H11</t>
  </si>
  <si>
    <t>Austin</t>
  </si>
  <si>
    <t>Cover Sheet - F28</t>
  </si>
  <si>
    <t>Austin Perea</t>
  </si>
  <si>
    <t>Cover Sheet - H10</t>
  </si>
  <si>
    <r>
      <t>SELECT</t>
    </r>
    <r>
      <rPr>
        <sz val="9"/>
        <color rgb="FF212121"/>
        <rFont val="Consolas"/>
        <family val="3"/>
      </rPr>
      <t xml:space="preserve"> pp.Name, pp.ProductNumber, </t>
    </r>
    <r>
      <rPr>
        <sz val="9"/>
        <color rgb="FF795E26"/>
        <rFont val="Consolas"/>
        <family val="3"/>
      </rPr>
      <t>sum</t>
    </r>
    <r>
      <rPr>
        <sz val="9"/>
        <color rgb="FF212121"/>
        <rFont val="Consolas"/>
        <family val="3"/>
      </rPr>
      <t xml:space="preserve">(pwo.OrderQty) </t>
    </r>
    <r>
      <rPr>
        <sz val="9"/>
        <color rgb="FF0000FF"/>
        <rFont val="Consolas"/>
        <family val="3"/>
      </rPr>
      <t>as</t>
    </r>
    <r>
      <rPr>
        <sz val="9"/>
        <color rgb="FF212121"/>
        <rFont val="Consolas"/>
        <family val="3"/>
      </rPr>
      <t xml:space="preserve"> TotalOrdered, </t>
    </r>
    <r>
      <rPr>
        <sz val="9"/>
        <color rgb="FF795E26"/>
        <rFont val="Consolas"/>
        <family val="3"/>
      </rPr>
      <t>sum</t>
    </r>
    <r>
      <rPr>
        <sz val="9"/>
        <color rgb="FF212121"/>
        <rFont val="Consolas"/>
        <family val="3"/>
      </rPr>
      <t xml:space="preserve">(pwo.ScrappedQty) </t>
    </r>
    <r>
      <rPr>
        <sz val="9"/>
        <color rgb="FF0000FF"/>
        <rFont val="Consolas"/>
        <family val="3"/>
      </rPr>
      <t>as</t>
    </r>
    <r>
      <rPr>
        <sz val="9"/>
        <color rgb="FF212121"/>
        <rFont val="Consolas"/>
        <family val="3"/>
      </rPr>
      <t xml:space="preserve"> TotalScrapped</t>
    </r>
  </si>
  <si>
    <r>
      <t>from</t>
    </r>
    <r>
      <rPr>
        <sz val="9"/>
        <color rgb="FF212121"/>
        <rFont val="Consolas"/>
        <family val="3"/>
      </rPr>
      <t xml:space="preserve"> Production.Product pp</t>
    </r>
  </si>
  <si>
    <r>
      <t>inner join</t>
    </r>
    <r>
      <rPr>
        <sz val="9"/>
        <color rgb="FF212121"/>
        <rFont val="Consolas"/>
        <family val="3"/>
      </rPr>
      <t xml:space="preserve"> Production.WorkOrder pwo </t>
    </r>
  </si>
  <si>
    <r>
      <t>on</t>
    </r>
    <r>
      <rPr>
        <sz val="9"/>
        <color rgb="FF212121"/>
        <rFont val="Consolas"/>
        <family val="3"/>
      </rPr>
      <t xml:space="preserve"> pp.ProductID </t>
    </r>
    <r>
      <rPr>
        <sz val="9"/>
        <color rgb="FF000000"/>
        <rFont val="Consolas"/>
        <family val="3"/>
      </rPr>
      <t>=</t>
    </r>
    <r>
      <rPr>
        <sz val="9"/>
        <color rgb="FF212121"/>
        <rFont val="Consolas"/>
        <family val="3"/>
      </rPr>
      <t xml:space="preserve"> pwo.ProductID</t>
    </r>
  </si>
  <si>
    <r>
      <t>GROUP BY</t>
    </r>
    <r>
      <rPr>
        <sz val="9"/>
        <color rgb="FF212121"/>
        <rFont val="Consolas"/>
        <family val="3"/>
      </rPr>
      <t xml:space="preserve"> pp.Name, pp.ProductNumber</t>
    </r>
  </si>
  <si>
    <r>
      <t>HAVING</t>
    </r>
    <r>
      <rPr>
        <sz val="9"/>
        <color rgb="FF212121"/>
        <rFont val="Consolas"/>
        <family val="3"/>
      </rPr>
      <t xml:space="preserve"> </t>
    </r>
    <r>
      <rPr>
        <sz val="9"/>
        <color rgb="FF795E26"/>
        <rFont val="Consolas"/>
        <family val="3"/>
      </rPr>
      <t>sum</t>
    </r>
    <r>
      <rPr>
        <sz val="9"/>
        <color rgb="FF212121"/>
        <rFont val="Consolas"/>
        <family val="3"/>
      </rPr>
      <t xml:space="preserve">(pwo.ScrappedQty) </t>
    </r>
    <r>
      <rPr>
        <sz val="9"/>
        <color rgb="FF000000"/>
        <rFont val="Consolas"/>
        <family val="3"/>
      </rPr>
      <t>&gt;=</t>
    </r>
    <r>
      <rPr>
        <sz val="9"/>
        <color rgb="FF212121"/>
        <rFont val="Consolas"/>
        <family val="3"/>
      </rPr>
      <t xml:space="preserve"> </t>
    </r>
    <r>
      <rPr>
        <sz val="9"/>
        <color rgb="FF09885A"/>
        <rFont val="Consolas"/>
        <family val="3"/>
      </rPr>
      <t>200</t>
    </r>
  </si>
  <si>
    <r>
      <t>ORDER BY</t>
    </r>
    <r>
      <rPr>
        <sz val="9"/>
        <color rgb="FF212121"/>
        <rFont val="Consolas"/>
        <family val="3"/>
      </rPr>
      <t xml:space="preserve"> TotalOrdered </t>
    </r>
    <r>
      <rPr>
        <sz val="9"/>
        <color rgb="FF0000FF"/>
        <rFont val="Consolas"/>
        <family val="3"/>
      </rPr>
      <t>DESC</t>
    </r>
  </si>
  <si>
    <t>Question1 - N4:N10</t>
  </si>
  <si>
    <t>SELECT pp.Name, pp.ProductNumber, sum(pwo.OrderQty) as TotalOrdered, sum(pwo.ScrappedQty) as TotalScrapped</t>
  </si>
  <si>
    <t>ProductNumber</t>
  </si>
  <si>
    <t>Question1 - A5:D18</t>
  </si>
  <si>
    <r>
      <t>select</t>
    </r>
    <r>
      <rPr>
        <sz val="9"/>
        <color rgb="FF212121"/>
        <rFont val="Consolas"/>
        <family val="3"/>
      </rPr>
      <t xml:space="preserve"> d.Name, </t>
    </r>
    <r>
      <rPr>
        <sz val="9"/>
        <color rgb="FF795E26"/>
        <rFont val="Consolas"/>
        <family val="3"/>
      </rPr>
      <t>count</t>
    </r>
    <r>
      <rPr>
        <sz val="9"/>
        <color rgb="FF212121"/>
        <rFont val="Consolas"/>
        <family val="3"/>
      </rPr>
      <t xml:space="preserve">(e.BusinessEntityID) </t>
    </r>
    <r>
      <rPr>
        <sz val="9"/>
        <color rgb="FF0000FF"/>
        <rFont val="Consolas"/>
        <family val="3"/>
      </rPr>
      <t>as</t>
    </r>
    <r>
      <rPr>
        <sz val="9"/>
        <color rgb="FF212121"/>
        <rFont val="Consolas"/>
        <family val="3"/>
      </rPr>
      <t xml:space="preserve"> EmployeeCount</t>
    </r>
  </si>
  <si>
    <r>
      <t>from</t>
    </r>
    <r>
      <rPr>
        <sz val="9"/>
        <color rgb="FF212121"/>
        <rFont val="Consolas"/>
        <family val="3"/>
      </rPr>
      <t xml:space="preserve"> HumanResources.Department d</t>
    </r>
  </si>
  <si>
    <r>
      <t>inner join</t>
    </r>
    <r>
      <rPr>
        <sz val="9"/>
        <color rgb="FF212121"/>
        <rFont val="Consolas"/>
        <family val="3"/>
      </rPr>
      <t xml:space="preserve"> HumanResources.EmployeeDepartmentHistory edh</t>
    </r>
  </si>
  <si>
    <r>
      <t>on</t>
    </r>
    <r>
      <rPr>
        <sz val="9"/>
        <color rgb="FF212121"/>
        <rFont val="Consolas"/>
        <family val="3"/>
      </rPr>
      <t xml:space="preserve"> d.DepartmentID </t>
    </r>
    <r>
      <rPr>
        <sz val="9"/>
        <color rgb="FF000000"/>
        <rFont val="Consolas"/>
        <family val="3"/>
      </rPr>
      <t>=</t>
    </r>
    <r>
      <rPr>
        <sz val="9"/>
        <color rgb="FF212121"/>
        <rFont val="Consolas"/>
        <family val="3"/>
      </rPr>
      <t xml:space="preserve"> edh.DepartmentID</t>
    </r>
  </si>
  <si>
    <r>
      <t>inner join</t>
    </r>
    <r>
      <rPr>
        <sz val="9"/>
        <color rgb="FF212121"/>
        <rFont val="Consolas"/>
        <family val="3"/>
      </rPr>
      <t xml:space="preserve"> HumanResources.Employee e </t>
    </r>
  </si>
  <si>
    <r>
      <t>on</t>
    </r>
    <r>
      <rPr>
        <sz val="9"/>
        <color rgb="FF212121"/>
        <rFont val="Consolas"/>
        <family val="3"/>
      </rPr>
      <t xml:space="preserve"> edh.BusinessEntityID </t>
    </r>
    <r>
      <rPr>
        <sz val="9"/>
        <color rgb="FF000000"/>
        <rFont val="Consolas"/>
        <family val="3"/>
      </rPr>
      <t>=</t>
    </r>
    <r>
      <rPr>
        <sz val="9"/>
        <color rgb="FF212121"/>
        <rFont val="Consolas"/>
        <family val="3"/>
      </rPr>
      <t xml:space="preserve"> e.BusinessEntityID</t>
    </r>
  </si>
  <si>
    <r>
      <t>GROUP BY</t>
    </r>
    <r>
      <rPr>
        <sz val="9"/>
        <color rgb="FF212121"/>
        <rFont val="Consolas"/>
        <family val="3"/>
      </rPr>
      <t xml:space="preserve"> d.Name</t>
    </r>
  </si>
  <si>
    <r>
      <t>ORDER BY</t>
    </r>
    <r>
      <rPr>
        <sz val="9"/>
        <color rgb="FF212121"/>
        <rFont val="Consolas"/>
        <family val="3"/>
      </rPr>
      <t xml:space="preserve"> d.Name</t>
    </r>
  </si>
  <si>
    <t>Question2 - N3:N10</t>
  </si>
  <si>
    <t>select d.Name, count(e.BusinessEntityID) as EmployeeCount</t>
  </si>
  <si>
    <t>Question2 - A5:B21</t>
  </si>
  <si>
    <r>
      <t>select</t>
    </r>
    <r>
      <rPr>
        <sz val="9"/>
        <color rgb="FF212121"/>
        <rFont val="Consolas"/>
        <family val="3"/>
      </rPr>
      <t xml:space="preserve"> </t>
    </r>
    <r>
      <rPr>
        <sz val="9"/>
        <color rgb="FF795E26"/>
        <rFont val="Consolas"/>
        <family val="3"/>
      </rPr>
      <t>count</t>
    </r>
    <r>
      <rPr>
        <sz val="9"/>
        <color rgb="FF212121"/>
        <rFont val="Consolas"/>
        <family val="3"/>
      </rPr>
      <t xml:space="preserve">(soc.SalesOrderID) </t>
    </r>
    <r>
      <rPr>
        <sz val="9"/>
        <color rgb="FF0000FF"/>
        <rFont val="Consolas"/>
        <family val="3"/>
      </rPr>
      <t>as</t>
    </r>
    <r>
      <rPr>
        <sz val="9"/>
        <color rgb="FF212121"/>
        <rFont val="Consolas"/>
        <family val="3"/>
      </rPr>
      <t xml:space="preserve"> OrderCount</t>
    </r>
  </si>
  <si>
    <r>
      <t>from</t>
    </r>
    <r>
      <rPr>
        <sz val="9"/>
        <color rgb="FF212121"/>
        <rFont val="Consolas"/>
        <family val="3"/>
      </rPr>
      <t xml:space="preserve"> </t>
    </r>
  </si>
  <si>
    <t>(</t>
  </si>
  <si>
    <r>
      <t xml:space="preserve">    </t>
    </r>
    <r>
      <rPr>
        <sz val="9"/>
        <color rgb="FF0000FF"/>
        <rFont val="Consolas"/>
        <family val="3"/>
      </rPr>
      <t>select</t>
    </r>
    <r>
      <rPr>
        <sz val="9"/>
        <color rgb="FF212121"/>
        <rFont val="Consolas"/>
        <family val="3"/>
      </rPr>
      <t xml:space="preserve"> sod.SalesOrderID </t>
    </r>
  </si>
  <si>
    <r>
      <t xml:space="preserve">    </t>
    </r>
    <r>
      <rPr>
        <sz val="9"/>
        <color rgb="FF0000FF"/>
        <rFont val="Consolas"/>
        <family val="3"/>
      </rPr>
      <t>from</t>
    </r>
    <r>
      <rPr>
        <sz val="9"/>
        <color rgb="FF212121"/>
        <rFont val="Consolas"/>
        <family val="3"/>
      </rPr>
      <t xml:space="preserve"> Sales.SalesOrderDetail sod </t>
    </r>
  </si>
  <si>
    <r>
      <t xml:space="preserve">    </t>
    </r>
    <r>
      <rPr>
        <sz val="9"/>
        <color rgb="FF0000FF"/>
        <rFont val="Consolas"/>
        <family val="3"/>
      </rPr>
      <t>group by</t>
    </r>
    <r>
      <rPr>
        <sz val="9"/>
        <color rgb="FF212121"/>
        <rFont val="Consolas"/>
        <family val="3"/>
      </rPr>
      <t xml:space="preserve"> sod.SalesOrderID</t>
    </r>
  </si>
  <si>
    <r>
      <t xml:space="preserve">    </t>
    </r>
    <r>
      <rPr>
        <sz val="9"/>
        <color rgb="FF0000FF"/>
        <rFont val="Consolas"/>
        <family val="3"/>
      </rPr>
      <t>having</t>
    </r>
    <r>
      <rPr>
        <sz val="9"/>
        <color rgb="FF212121"/>
        <rFont val="Consolas"/>
        <family val="3"/>
      </rPr>
      <t xml:space="preserve"> </t>
    </r>
    <r>
      <rPr>
        <sz val="9"/>
        <color rgb="FF795E26"/>
        <rFont val="Consolas"/>
        <family val="3"/>
      </rPr>
      <t>count</t>
    </r>
    <r>
      <rPr>
        <sz val="9"/>
        <color rgb="FF212121"/>
        <rFont val="Consolas"/>
        <family val="3"/>
      </rPr>
      <t xml:space="preserve">(sod.OrderQty) </t>
    </r>
    <r>
      <rPr>
        <sz val="9"/>
        <color rgb="FF0000FF"/>
        <rFont val="Consolas"/>
        <family val="3"/>
      </rPr>
      <t>between</t>
    </r>
    <r>
      <rPr>
        <sz val="9"/>
        <color rgb="FF212121"/>
        <rFont val="Consolas"/>
        <family val="3"/>
      </rPr>
      <t xml:space="preserve"> </t>
    </r>
    <r>
      <rPr>
        <sz val="9"/>
        <color rgb="FF09885A"/>
        <rFont val="Consolas"/>
        <family val="3"/>
      </rPr>
      <t>10</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09885A"/>
        <rFont val="Consolas"/>
        <family val="3"/>
      </rPr>
      <t>20</t>
    </r>
  </si>
  <si>
    <r>
      <t xml:space="preserve">) </t>
    </r>
    <r>
      <rPr>
        <sz val="9"/>
        <color rgb="FF0000FF"/>
        <rFont val="Consolas"/>
        <family val="3"/>
      </rPr>
      <t>as</t>
    </r>
    <r>
      <rPr>
        <sz val="9"/>
        <color rgb="FF212121"/>
        <rFont val="Consolas"/>
        <family val="3"/>
      </rPr>
      <t xml:space="preserve"> soc</t>
    </r>
  </si>
  <si>
    <t>Question4 - N3:N10</t>
  </si>
  <si>
    <t>select count(soc.SalesOrderID) as OrderCount</t>
  </si>
  <si>
    <t>Question4 - A5:A6</t>
  </si>
  <si>
    <r>
      <t>select</t>
    </r>
    <r>
      <rPr>
        <sz val="9"/>
        <color rgb="FF212121"/>
        <rFont val="Consolas"/>
        <family val="3"/>
      </rPr>
      <t xml:space="preserve"> pp.Name, </t>
    </r>
    <r>
      <rPr>
        <sz val="9"/>
        <color rgb="FF795E26"/>
        <rFont val="Consolas"/>
        <family val="3"/>
      </rPr>
      <t>avg</t>
    </r>
    <r>
      <rPr>
        <sz val="9"/>
        <color rgb="FF212121"/>
        <rFont val="Consolas"/>
        <family val="3"/>
      </rPr>
      <t xml:space="preserve">(sod.LineTotal) </t>
    </r>
    <r>
      <rPr>
        <sz val="9"/>
        <color rgb="FF0000FF"/>
        <rFont val="Consolas"/>
        <family val="3"/>
      </rPr>
      <t>as</t>
    </r>
    <r>
      <rPr>
        <sz val="9"/>
        <color rgb="FF212121"/>
        <rFont val="Consolas"/>
        <family val="3"/>
      </rPr>
      <t xml:space="preserve"> AvgSaleLineAmount, </t>
    </r>
    <r>
      <rPr>
        <sz val="9"/>
        <color rgb="FF795E26"/>
        <rFont val="Consolas"/>
        <family val="3"/>
      </rPr>
      <t>sum</t>
    </r>
    <r>
      <rPr>
        <sz val="9"/>
        <color rgb="FF212121"/>
        <rFont val="Consolas"/>
        <family val="3"/>
      </rPr>
      <t xml:space="preserve">(sod.OrderQty) </t>
    </r>
    <r>
      <rPr>
        <sz val="9"/>
        <color rgb="FF0000FF"/>
        <rFont val="Consolas"/>
        <family val="3"/>
      </rPr>
      <t>as</t>
    </r>
    <r>
      <rPr>
        <sz val="9"/>
        <color rgb="FF212121"/>
        <rFont val="Consolas"/>
        <family val="3"/>
      </rPr>
      <t xml:space="preserve"> TotalOrderQuantity, </t>
    </r>
    <r>
      <rPr>
        <sz val="9"/>
        <color rgb="FF795E26"/>
        <rFont val="Consolas"/>
        <family val="3"/>
      </rPr>
      <t>avg</t>
    </r>
    <r>
      <rPr>
        <sz val="9"/>
        <color rgb="FF212121"/>
        <rFont val="Consolas"/>
        <family val="3"/>
      </rPr>
      <t xml:space="preserve">(sod.UnitPriceDiscount) </t>
    </r>
    <r>
      <rPr>
        <sz val="9"/>
        <color rgb="FF0000FF"/>
        <rFont val="Consolas"/>
        <family val="3"/>
      </rPr>
      <t>as</t>
    </r>
    <r>
      <rPr>
        <sz val="9"/>
        <color rgb="FF212121"/>
        <rFont val="Consolas"/>
        <family val="3"/>
      </rPr>
      <t xml:space="preserve"> AverageDiscount</t>
    </r>
  </si>
  <si>
    <r>
      <t>inner join</t>
    </r>
    <r>
      <rPr>
        <sz val="9"/>
        <color rgb="FF212121"/>
        <rFont val="Consolas"/>
        <family val="3"/>
      </rPr>
      <t xml:space="preserve"> Production.ProductSubcategory ps</t>
    </r>
  </si>
  <si>
    <r>
      <t>on</t>
    </r>
    <r>
      <rPr>
        <sz val="9"/>
        <color rgb="FF212121"/>
        <rFont val="Consolas"/>
        <family val="3"/>
      </rPr>
      <t xml:space="preserve"> pp.ProductSubcategoryID </t>
    </r>
    <r>
      <rPr>
        <sz val="9"/>
        <color rgb="FF000000"/>
        <rFont val="Consolas"/>
        <family val="3"/>
      </rPr>
      <t>=</t>
    </r>
    <r>
      <rPr>
        <sz val="9"/>
        <color rgb="FF212121"/>
        <rFont val="Consolas"/>
        <family val="3"/>
      </rPr>
      <t xml:space="preserve"> ps.ProductSubcategoryID</t>
    </r>
  </si>
  <si>
    <r>
      <t>inner join</t>
    </r>
    <r>
      <rPr>
        <sz val="9"/>
        <color rgb="FF212121"/>
        <rFont val="Consolas"/>
        <family val="3"/>
      </rPr>
      <t xml:space="preserve"> Sales.SalesOrderDetail sod </t>
    </r>
  </si>
  <si>
    <r>
      <t>on</t>
    </r>
    <r>
      <rPr>
        <sz val="9"/>
        <color rgb="FF212121"/>
        <rFont val="Consolas"/>
        <family val="3"/>
      </rPr>
      <t xml:space="preserve"> pp.ProductID </t>
    </r>
    <r>
      <rPr>
        <sz val="9"/>
        <color rgb="FF000000"/>
        <rFont val="Consolas"/>
        <family val="3"/>
      </rPr>
      <t>=</t>
    </r>
    <r>
      <rPr>
        <sz val="9"/>
        <color rgb="FF212121"/>
        <rFont val="Consolas"/>
        <family val="3"/>
      </rPr>
      <t xml:space="preserve"> sod.ProductID</t>
    </r>
  </si>
  <si>
    <r>
      <t>where</t>
    </r>
    <r>
      <rPr>
        <sz val="9"/>
        <color rgb="FF212121"/>
        <rFont val="Consolas"/>
        <family val="3"/>
      </rPr>
      <t xml:space="preserve"> ps.Name </t>
    </r>
    <r>
      <rPr>
        <sz val="9"/>
        <color rgb="FF000000"/>
        <rFont val="Consolas"/>
        <family val="3"/>
      </rPr>
      <t>=</t>
    </r>
    <r>
      <rPr>
        <sz val="9"/>
        <color rgb="FF212121"/>
        <rFont val="Consolas"/>
        <family val="3"/>
      </rPr>
      <t xml:space="preserve"> </t>
    </r>
    <r>
      <rPr>
        <sz val="9"/>
        <color rgb="FFA31515"/>
        <rFont val="Consolas"/>
        <family val="3"/>
      </rPr>
      <t>'Mountain Bikes'</t>
    </r>
  </si>
  <si>
    <r>
      <t>GROUP BY</t>
    </r>
    <r>
      <rPr>
        <sz val="9"/>
        <color rgb="FF212121"/>
        <rFont val="Consolas"/>
        <family val="3"/>
      </rPr>
      <t xml:space="preserve"> pp.Name</t>
    </r>
  </si>
  <si>
    <r>
      <t>ORDER BY</t>
    </r>
    <r>
      <rPr>
        <sz val="9"/>
        <color rgb="FF212121"/>
        <rFont val="Consolas"/>
        <family val="3"/>
      </rPr>
      <t xml:space="preserve"> pp.Name</t>
    </r>
  </si>
  <si>
    <t>Question5 - N3:N11</t>
  </si>
  <si>
    <t>select pp.Name, avg(sod.LineTotal) as AvgSaleLineAmount, sum(sod.OrderQty) as TotalOrderQuantity, avg(sod.UnitPriceDiscount) as AverageDiscount</t>
  </si>
  <si>
    <t>TotalOrderQuantity</t>
  </si>
  <si>
    <t>Question5 - A5:D37</t>
  </si>
  <si>
    <r>
      <t>SELECT</t>
    </r>
    <r>
      <rPr>
        <sz val="9"/>
        <color rgb="FF212121"/>
        <rFont val="Consolas"/>
        <family val="3"/>
      </rPr>
      <t xml:space="preserve"> pp.Name, pp.ProductNumber, </t>
    </r>
    <r>
      <rPr>
        <sz val="9"/>
        <color rgb="FF795E26"/>
        <rFont val="Consolas"/>
        <family val="3"/>
      </rPr>
      <t>count</t>
    </r>
    <r>
      <rPr>
        <sz val="9"/>
        <color rgb="FF212121"/>
        <rFont val="Consolas"/>
        <family val="3"/>
      </rPr>
      <t xml:space="preserve">(plph.ListPrice) </t>
    </r>
    <r>
      <rPr>
        <sz val="9"/>
        <color rgb="FF0000FF"/>
        <rFont val="Consolas"/>
        <family val="3"/>
      </rPr>
      <t>as</t>
    </r>
    <r>
      <rPr>
        <sz val="9"/>
        <color rgb="FF212121"/>
        <rFont val="Consolas"/>
        <family val="3"/>
      </rPr>
      <t xml:space="preserve"> ListPriceChangeCount, plph.ModifiedDate </t>
    </r>
    <r>
      <rPr>
        <sz val="9"/>
        <color rgb="FF0000FF"/>
        <rFont val="Consolas"/>
        <family val="3"/>
      </rPr>
      <t>as</t>
    </r>
    <r>
      <rPr>
        <sz val="9"/>
        <color rgb="FF212121"/>
        <rFont val="Consolas"/>
        <family val="3"/>
      </rPr>
      <t xml:space="preserve"> ListPriceChangeDate</t>
    </r>
  </si>
  <si>
    <r>
      <t>from</t>
    </r>
    <r>
      <rPr>
        <sz val="9"/>
        <color rgb="FF212121"/>
        <rFont val="Consolas"/>
        <family val="3"/>
      </rPr>
      <t xml:space="preserve"> Production.Product pp </t>
    </r>
  </si>
  <si>
    <r>
      <t>inner join</t>
    </r>
    <r>
      <rPr>
        <sz val="9"/>
        <color rgb="FF212121"/>
        <rFont val="Consolas"/>
        <family val="3"/>
      </rPr>
      <t xml:space="preserve"> Production.ProductSubcategory psc </t>
    </r>
  </si>
  <si>
    <r>
      <t>on</t>
    </r>
    <r>
      <rPr>
        <sz val="9"/>
        <color rgb="FF212121"/>
        <rFont val="Consolas"/>
        <family val="3"/>
      </rPr>
      <t xml:space="preserve"> pp.ProductSubcategoryID </t>
    </r>
    <r>
      <rPr>
        <sz val="9"/>
        <color rgb="FF000000"/>
        <rFont val="Consolas"/>
        <family val="3"/>
      </rPr>
      <t>=</t>
    </r>
    <r>
      <rPr>
        <sz val="9"/>
        <color rgb="FF212121"/>
        <rFont val="Consolas"/>
        <family val="3"/>
      </rPr>
      <t xml:space="preserve"> psc.ProductSubcategoryID</t>
    </r>
  </si>
  <si>
    <r>
      <t>left join</t>
    </r>
    <r>
      <rPr>
        <sz val="9"/>
        <color rgb="FF212121"/>
        <rFont val="Consolas"/>
        <family val="3"/>
      </rPr>
      <t xml:space="preserve"> Production.ProductListPriceHistory plph </t>
    </r>
  </si>
  <si>
    <r>
      <t>on</t>
    </r>
    <r>
      <rPr>
        <sz val="9"/>
        <color rgb="FF212121"/>
        <rFont val="Consolas"/>
        <family val="3"/>
      </rPr>
      <t xml:space="preserve"> pp.ProductID </t>
    </r>
    <r>
      <rPr>
        <sz val="9"/>
        <color rgb="FF000000"/>
        <rFont val="Consolas"/>
        <family val="3"/>
      </rPr>
      <t>=</t>
    </r>
    <r>
      <rPr>
        <sz val="9"/>
        <color rgb="FF212121"/>
        <rFont val="Consolas"/>
        <family val="3"/>
      </rPr>
      <t xml:space="preserve"> plph.ProductID</t>
    </r>
  </si>
  <si>
    <r>
      <t>where</t>
    </r>
    <r>
      <rPr>
        <sz val="9"/>
        <color rgb="FF212121"/>
        <rFont val="Consolas"/>
        <family val="3"/>
      </rPr>
      <t xml:space="preserve"> psc.Name </t>
    </r>
    <r>
      <rPr>
        <sz val="9"/>
        <color rgb="FF000000"/>
        <rFont val="Consolas"/>
        <family val="3"/>
      </rPr>
      <t>=</t>
    </r>
    <r>
      <rPr>
        <sz val="9"/>
        <color rgb="FF212121"/>
        <rFont val="Consolas"/>
        <family val="3"/>
      </rPr>
      <t xml:space="preserve"> </t>
    </r>
    <r>
      <rPr>
        <sz val="9"/>
        <color rgb="FFA31515"/>
        <rFont val="Consolas"/>
        <family val="3"/>
      </rPr>
      <t>'Road Frames'</t>
    </r>
  </si>
  <si>
    <r>
      <t>GROUP BY</t>
    </r>
    <r>
      <rPr>
        <sz val="9"/>
        <color rgb="FF212121"/>
        <rFont val="Consolas"/>
        <family val="3"/>
      </rPr>
      <t xml:space="preserve"> pp.Name, pp.ProductNumber, plph.ModifiedDate</t>
    </r>
  </si>
  <si>
    <r>
      <t>order by</t>
    </r>
    <r>
      <rPr>
        <sz val="9"/>
        <color rgb="FF212121"/>
        <rFont val="Consolas"/>
        <family val="3"/>
      </rPr>
      <t xml:space="preserve"> pp.Name</t>
    </r>
  </si>
  <si>
    <t>Question3 - N4:N12</t>
  </si>
  <si>
    <t>SELECT pp.Name, pp.ProductNumber, count(plph.ListPrice) as ListPriceChangeCount, plph.ModifiedDate as ListPriceChangeDate</t>
  </si>
  <si>
    <t>Question3 - A5:D75</t>
  </si>
  <si>
    <t>Question5 - D6</t>
  </si>
  <si>
    <t>Question1 - 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</si>
</sst>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 #,##0_);_(* \(#,##0\);_(* &quot;-&quot;??_);_(@_)"/>
    <numFmt numFmtId="166" formatCode="m/d/yy\ h:mm;@"/>
    <numFmt numFmtId="167" formatCode="_(* #,##0.0000_);_(* \(#,##0.0000\);_(* &quot;-&quot;??_);_(@_)"/>
    <numFmt numFmtId="168" formatCode="#,##0.0000"/>
    <numFmt numFmtId="169" formatCode="0.000"/>
    <numFmt numFmtId="170" formatCode="&quot;$&quot;#,##0"/>
  </numFmts>
  <fonts count="31"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000000"/>
      <name val="Consolas"/>
      <family val="3"/>
    </font>
    <font>
      <sz val="10"/>
      <color theme="1"/>
      <name val="Calibri"/>
      <family val="2"/>
      <scheme val="minor"/>
    </font>
    <font>
      <sz val="11"/>
      <color rgb="FF212121"/>
      <name val="Consolas"/>
      <family val="3"/>
    </font>
    <font>
      <sz val="14"/>
      <color rgb="FF0000FF"/>
      <name val="Consolas"/>
      <family val="3"/>
    </font>
    <font>
      <sz val="14"/>
      <color rgb="FF212121"/>
      <name val="Consolas"/>
      <family val="3"/>
    </font>
    <font>
      <sz val="7"/>
      <color rgb="FF795E26"/>
      <name val="Consolas"/>
      <family val="3"/>
    </font>
    <font>
      <sz val="14"/>
      <color theme="1"/>
      <name val="Calibri"/>
      <family val="2"/>
      <scheme val="minor"/>
    </font>
    <font>
      <sz val="7"/>
      <color rgb="FF09885A"/>
      <name val="Consolas"/>
      <family val="3"/>
    </font>
    <font>
      <sz val="9"/>
      <color rgb="FF212121"/>
      <name val="Consolas"/>
      <family val="3"/>
    </font>
    <font>
      <sz val="9"/>
      <color rgb="FF0000FF"/>
      <name val="Consolas"/>
      <family val="3"/>
    </font>
    <font>
      <sz val="9"/>
      <color rgb="FF795E26"/>
      <name val="Consolas"/>
      <family val="3"/>
    </font>
    <font>
      <sz val="9"/>
      <color rgb="FF000000"/>
      <name val="Consolas"/>
      <family val="3"/>
    </font>
    <font>
      <sz val="9"/>
      <color rgb="FF09885A"/>
      <name val="Consolas"/>
      <family val="3"/>
    </font>
    <font>
      <sz val="9"/>
      <color rgb="FFA31515"/>
      <name val="Consolas"/>
      <family val="3"/>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53">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47" fontId="0" fillId="0" borderId="0" xfId="0" applyNumberFormat="1"/>
    <xf numFmtId="0" fontId="18" fillId="0" borderId="0" xfId="0" applyFont="1"/>
    <xf numFmtId="14" fontId="0" fillId="6" borderId="0" xfId="0" applyNumberFormat="1" applyFill="1"/>
    <xf numFmtId="168" fontId="0" fillId="0" borderId="0" xfId="0" applyNumberFormat="1"/>
    <xf numFmtId="169" fontId="0" fillId="0" borderId="0" xfId="0" applyNumberFormat="1"/>
    <xf numFmtId="2" fontId="1" fillId="2" borderId="14" xfId="0" applyNumberFormat="1" applyFont="1" applyFill="1" applyBorder="1" applyAlignment="1">
      <alignment vertical="center"/>
    </xf>
    <xf numFmtId="2" fontId="1" fillId="2" borderId="18" xfId="0" applyNumberFormat="1" applyFont="1" applyFill="1" applyBorder="1" applyAlignment="1">
      <alignment vertical="center"/>
    </xf>
    <xf numFmtId="2" fontId="9" fillId="2" borderId="14" xfId="0" applyNumberFormat="1" applyFont="1" applyFill="1" applyBorder="1" applyAlignment="1">
      <alignment vertical="center"/>
    </xf>
    <xf numFmtId="2" fontId="0" fillId="2" borderId="10" xfId="0" applyNumberFormat="1" applyFont="1" applyFill="1" applyBorder="1" applyAlignment="1">
      <alignment horizontal="center" vertical="center"/>
    </xf>
    <xf numFmtId="0" fontId="0" fillId="2" borderId="1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8" xfId="0" applyFont="1" applyFill="1" applyBorder="1" applyAlignment="1">
      <alignment horizontal="center" vertical="center"/>
    </xf>
    <xf numFmtId="2" fontId="1" fillId="2" borderId="12"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0" fontId="10" fillId="2" borderId="9" xfId="0" applyFont="1" applyFill="1" applyBorder="1"/>
    <xf numFmtId="0" fontId="10" fillId="2" borderId="8" xfId="0" applyFont="1" applyFill="1" applyBorder="1"/>
    <xf numFmtId="0" fontId="12" fillId="2" borderId="8" xfId="0" applyFont="1" applyFill="1" applyBorder="1"/>
    <xf numFmtId="0" fontId="12" fillId="2" borderId="10" xfId="0" applyFont="1" applyFill="1" applyBorder="1"/>
    <xf numFmtId="0" fontId="1" fillId="0" borderId="0" xfId="0" applyFont="1" applyAlignment="1">
      <alignment wrapText="1"/>
    </xf>
    <xf numFmtId="0" fontId="15" fillId="0" borderId="0" xfId="0" applyFont="1" applyAlignment="1">
      <alignment vertical="center" wrapText="1"/>
    </xf>
    <xf numFmtId="2" fontId="0" fillId="6" borderId="0" xfId="0" applyNumberFormat="1" applyFill="1"/>
    <xf numFmtId="0" fontId="20" fillId="0" borderId="0" xfId="0" applyFont="1" applyAlignment="1">
      <alignment vertical="center"/>
    </xf>
    <xf numFmtId="0" fontId="21" fillId="0" borderId="0" xfId="0" applyFont="1" applyAlignment="1">
      <alignment vertical="center"/>
    </xf>
    <xf numFmtId="14" fontId="16" fillId="0" borderId="0" xfId="0" applyNumberFormat="1" applyFont="1" applyAlignment="1">
      <alignment vertical="center"/>
    </xf>
    <xf numFmtId="0" fontId="19" fillId="0" borderId="0" xfId="0" applyFont="1" applyAlignment="1">
      <alignment vertical="center" wrapText="1"/>
    </xf>
    <xf numFmtId="0" fontId="23" fillId="0" borderId="0" xfId="0" applyFont="1"/>
    <xf numFmtId="0" fontId="23" fillId="6" borderId="0" xfId="0" applyFont="1" applyFill="1"/>
    <xf numFmtId="170" fontId="0" fillId="0" borderId="0" xfId="0" applyNumberFormat="1"/>
    <xf numFmtId="0" fontId="22" fillId="0" borderId="0" xfId="0" applyFont="1" applyAlignment="1">
      <alignment vertical="center"/>
    </xf>
    <xf numFmtId="0" fontId="1" fillId="2" borderId="3" xfId="0" applyFont="1" applyFill="1" applyBorder="1" applyAlignment="1">
      <alignment horizontal="center" vertical="center"/>
    </xf>
    <xf numFmtId="2" fontId="1" fillId="2" borderId="12" xfId="0" applyNumberFormat="1" applyFont="1" applyFill="1" applyBorder="1" applyAlignment="1">
      <alignment vertical="center"/>
    </xf>
    <xf numFmtId="22" fontId="0" fillId="0" borderId="0" xfId="0" applyNumberFormat="1"/>
    <xf numFmtId="0" fontId="26" fillId="0" borderId="0" xfId="0" applyFont="1" applyAlignment="1">
      <alignment vertical="center"/>
    </xf>
    <xf numFmtId="0" fontId="25"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0" fontId="3" fillId="2" borderId="4" xfId="0" applyFont="1" applyFill="1" applyBorder="1" applyAlignment="1">
      <alignment wrapText="1"/>
    </xf>
    <xf numFmtId="0" fontId="0" fillId="0" borderId="5" xfId="0" applyBorder="1" applyAlignment="1"/>
    <xf numFmtId="0" fontId="0" fillId="0" borderId="13" xfId="0" applyBorder="1" applyAlignment="1"/>
    <xf numFmtId="0" fontId="0" fillId="0" borderId="6" xfId="0" applyBorder="1" applyAlignment="1"/>
    <xf numFmtId="0" fontId="0" fillId="0" borderId="0" xfId="0" applyBorder="1" applyAlignment="1"/>
    <xf numFmtId="0" fontId="0" fillId="0" borderId="14" xfId="0" applyBorder="1" applyAlignment="1"/>
    <xf numFmtId="0" fontId="14" fillId="0" borderId="0" xfId="0" applyFont="1" applyAlignment="1">
      <alignment wrapText="1"/>
    </xf>
    <xf numFmtId="0" fontId="0" fillId="0" borderId="0" xfId="0" applyAlignment="1"/>
    <xf numFmtId="49" fontId="14" fillId="0" borderId="0" xfId="0" applyNumberFormat="1" applyFont="1" applyAlignment="1">
      <alignment wrapText="1"/>
    </xf>
    <xf numFmtId="49" fontId="0" fillId="0" borderId="0" xfId="0" applyNumberFormat="1" applyAlignment="1"/>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611505</xdr:colOff>
      <xdr:row>9</xdr:row>
      <xdr:rowOff>106680</xdr:rowOff>
    </xdr:from>
    <xdr:to>
      <xdr:col>11</xdr:col>
      <xdr:colOff>379095</xdr:colOff>
      <xdr:row>28</xdr:row>
      <xdr:rowOff>38100</xdr:rowOff>
    </xdr:to>
    <xdr:pic>
      <xdr:nvPicPr>
        <xdr:cNvPr id="2" name="Picture 1">
          <a:extLst>
            <a:ext uri="{FF2B5EF4-FFF2-40B4-BE49-F238E27FC236}">
              <a16:creationId xmlns:a16="http://schemas.microsoft.com/office/drawing/2014/main" id="{D3A31F69-7464-4AD6-AEE5-CC2ABBDC37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02705" y="3154680"/>
          <a:ext cx="2901315" cy="3550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C09B-0944-4D41-93A9-1B4BAE62B6E8}">
  <sheetPr codeName="Sheet17"/>
  <dimension ref="B1:E10"/>
  <sheetViews>
    <sheetView workbookViewId="0">
      <selection activeCell="C6" sqref="C6"/>
    </sheetView>
  </sheetViews>
  <sheetFormatPr defaultRowHeight="15" x14ac:dyDescent="0.25"/>
  <cols>
    <col min="3" max="3" width="25.85546875" customWidth="1"/>
  </cols>
  <sheetData>
    <row r="1" spans="2:5" ht="15.75" thickBot="1" x14ac:dyDescent="0.3"/>
    <row r="2" spans="2:5" ht="45.75" thickBot="1" x14ac:dyDescent="0.3">
      <c r="B2" s="26" t="s">
        <v>112</v>
      </c>
      <c r="C2" s="131"/>
      <c r="D2" s="28" t="s">
        <v>51</v>
      </c>
      <c r="E2" s="28" t="s">
        <v>52</v>
      </c>
    </row>
    <row r="3" spans="2:5" ht="15.75" thickBot="1" x14ac:dyDescent="0.3">
      <c r="B3" s="29">
        <v>1</v>
      </c>
      <c r="C3" s="107"/>
      <c r="D3" s="110">
        <f>Answer1!A2</f>
        <v>8.2352914810180664</v>
      </c>
      <c r="E3" s="30">
        <v>10</v>
      </c>
    </row>
    <row r="4" spans="2:5" ht="15.75" thickBot="1" x14ac:dyDescent="0.3">
      <c r="B4" s="29">
        <v>2</v>
      </c>
      <c r="C4" s="107"/>
      <c r="D4" s="111">
        <f>Answer2!A2</f>
        <v>8.2352914810180664</v>
      </c>
      <c r="E4" s="30">
        <v>10</v>
      </c>
    </row>
    <row r="5" spans="2:5" ht="15.75" thickBot="1" x14ac:dyDescent="0.3">
      <c r="B5" s="29">
        <v>3</v>
      </c>
      <c r="C5" s="107"/>
      <c r="D5" s="111">
        <f>Answer3!A1</f>
        <v>0.95588243007659912</v>
      </c>
      <c r="E5" s="30">
        <v>10</v>
      </c>
    </row>
    <row r="6" spans="2:5" ht="15.75" thickBot="1" x14ac:dyDescent="0.3">
      <c r="B6" s="29">
        <v>4</v>
      </c>
      <c r="C6" s="107"/>
      <c r="D6" s="111">
        <f>Answer4!A2</f>
        <v>10</v>
      </c>
      <c r="E6" s="30">
        <v>10</v>
      </c>
    </row>
    <row r="7" spans="2:5" ht="15.75" thickBot="1" x14ac:dyDescent="0.3">
      <c r="B7" s="29">
        <v>5</v>
      </c>
      <c r="C7" s="107"/>
      <c r="D7" s="111">
        <f>Answer5!A2</f>
        <v>7.499995231628418</v>
      </c>
      <c r="E7" s="30">
        <v>10</v>
      </c>
    </row>
    <row r="8" spans="2:5" ht="15.75" thickBot="1" x14ac:dyDescent="0.3">
      <c r="B8" s="29"/>
      <c r="C8" s="107"/>
      <c r="D8" s="112"/>
      <c r="E8" s="30"/>
    </row>
    <row r="9" spans="2:5" ht="15.75" thickBot="1" x14ac:dyDescent="0.3">
      <c r="B9" s="96"/>
      <c r="C9" s="108"/>
      <c r="D9" s="113"/>
      <c r="E9" s="30"/>
    </row>
    <row r="10" spans="2:5" x14ac:dyDescent="0.25">
      <c r="B10" s="97" t="s">
        <v>168</v>
      </c>
      <c r="C10" s="132"/>
      <c r="D10" s="114">
        <f>SUM(D3:D9)</f>
        <v>34.92646062374115</v>
      </c>
      <c r="E10" s="100">
        <f>SUM(E3:E9)</f>
        <v>50</v>
      </c>
    </row>
  </sheetData>
  <sheetProtection algorithmName="SHA-512" hashValue="wfoGhT1y9gGNrVU6HqbKBoe7eNiC4mm8WMc0v0SDIqbueEyppWHcLXRkZTv5vcxzc6F9kJFnu/KDqkjdBWBQRw==" saltValue="fp75QeuWj8oC+4pg/wx+4g=="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topLeftCell="D8" workbookViewId="0">
      <selection activeCell="L14" sqref="L14"/>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67</v>
      </c>
    </row>
    <row r="2" spans="1:12" x14ac:dyDescent="0.25">
      <c r="A2" s="15"/>
    </row>
    <row r="3" spans="1:12" x14ac:dyDescent="0.25">
      <c r="A3" s="18"/>
    </row>
    <row r="4" spans="1:12" ht="18.75" x14ac:dyDescent="0.25">
      <c r="I4" s="85" t="s">
        <v>155</v>
      </c>
    </row>
    <row r="5" spans="1:12" ht="19.5" x14ac:dyDescent="0.25">
      <c r="A5" s="19"/>
      <c r="I5" s="19" t="s">
        <v>202</v>
      </c>
    </row>
    <row r="6" spans="1:12" x14ac:dyDescent="0.25">
      <c r="I6" s="115">
        <v>44875</v>
      </c>
    </row>
    <row r="7" spans="1:12" x14ac:dyDescent="0.25">
      <c r="I7" s="20" t="s">
        <v>48</v>
      </c>
    </row>
    <row r="8" spans="1:12" x14ac:dyDescent="0.25">
      <c r="I8" s="15" t="s">
        <v>48</v>
      </c>
    </row>
    <row r="9" spans="1:12" ht="15.75" thickBot="1" x14ac:dyDescent="0.3"/>
    <row r="10" spans="1:12" ht="15.75" thickBot="1" x14ac:dyDescent="0.3">
      <c r="F10" s="21" t="s">
        <v>53</v>
      </c>
      <c r="H10" s="136" t="s">
        <v>382</v>
      </c>
      <c r="I10" s="137"/>
      <c r="J10" s="138"/>
      <c r="K10" s="22"/>
      <c r="L10" s="22"/>
    </row>
    <row r="11" spans="1:12" x14ac:dyDescent="0.25">
      <c r="A11" s="21"/>
      <c r="H11" s="76" t="s">
        <v>378</v>
      </c>
      <c r="J11" s="73"/>
    </row>
    <row r="12" spans="1:12" x14ac:dyDescent="0.25">
      <c r="D12" s="74"/>
      <c r="F12" s="21" t="s">
        <v>90</v>
      </c>
    </row>
    <row r="13" spans="1:12" x14ac:dyDescent="0.25">
      <c r="F13" s="23" t="s">
        <v>156</v>
      </c>
    </row>
    <row r="14" spans="1:12" x14ac:dyDescent="0.25">
      <c r="A14" s="23" t="s">
        <v>48</v>
      </c>
      <c r="H14" s="46"/>
    </row>
    <row r="15" spans="1:12" x14ac:dyDescent="0.25">
      <c r="F15" s="21" t="s">
        <v>50</v>
      </c>
    </row>
    <row r="16" spans="1:12" x14ac:dyDescent="0.25">
      <c r="F16" s="24" t="s">
        <v>92</v>
      </c>
      <c r="G16" s="16" t="s">
        <v>171</v>
      </c>
    </row>
    <row r="17" spans="1:14" x14ac:dyDescent="0.25">
      <c r="F17" s="24" t="s">
        <v>92</v>
      </c>
      <c r="G17" s="16" t="s">
        <v>91</v>
      </c>
    </row>
    <row r="18" spans="1:14" x14ac:dyDescent="0.25">
      <c r="F18" s="24" t="s">
        <v>92</v>
      </c>
      <c r="G18" s="16" t="s">
        <v>157</v>
      </c>
    </row>
    <row r="19" spans="1:14" x14ac:dyDescent="0.25">
      <c r="F19" s="24" t="s">
        <v>92</v>
      </c>
      <c r="G19" s="16" t="s">
        <v>163</v>
      </c>
    </row>
    <row r="20" spans="1:14" ht="15.75" thickBot="1" x14ac:dyDescent="0.3">
      <c r="A20" s="25"/>
      <c r="F20" s="24"/>
    </row>
    <row r="21" spans="1:14" ht="30.75" thickBot="1" x14ac:dyDescent="0.3">
      <c r="H21" s="26" t="s">
        <v>112</v>
      </c>
      <c r="I21" s="27"/>
      <c r="J21" s="28" t="s">
        <v>51</v>
      </c>
      <c r="K21" s="28" t="s">
        <v>52</v>
      </c>
    </row>
    <row r="22" spans="1:14" ht="15.75" thickBot="1" x14ac:dyDescent="0.3">
      <c r="H22" s="29">
        <v>1</v>
      </c>
      <c r="I22" s="109"/>
      <c r="J22" s="70"/>
      <c r="K22" s="30">
        <v>10</v>
      </c>
    </row>
    <row r="23" spans="1:14" ht="15.75" thickBot="1" x14ac:dyDescent="0.3">
      <c r="H23" s="29">
        <v>2</v>
      </c>
      <c r="I23" s="109"/>
      <c r="J23" s="70"/>
      <c r="K23" s="30">
        <v>10</v>
      </c>
    </row>
    <row r="24" spans="1:14" ht="15.75" thickBot="1" x14ac:dyDescent="0.3">
      <c r="H24" s="29">
        <v>3</v>
      </c>
      <c r="J24" s="70"/>
      <c r="K24" s="30">
        <v>10</v>
      </c>
    </row>
    <row r="25" spans="1:14" ht="15.75" thickBot="1" x14ac:dyDescent="0.3">
      <c r="H25" s="29">
        <v>4</v>
      </c>
      <c r="I25" s="109"/>
      <c r="J25" s="70"/>
      <c r="K25" s="30">
        <v>10</v>
      </c>
    </row>
    <row r="26" spans="1:14" ht="15.75" thickBot="1" x14ac:dyDescent="0.3">
      <c r="H26" s="29">
        <v>5</v>
      </c>
      <c r="I26" s="109"/>
      <c r="J26" s="70"/>
      <c r="K26" s="30">
        <v>10</v>
      </c>
    </row>
    <row r="27" spans="1:14" ht="15.75" thickBot="1" x14ac:dyDescent="0.3">
      <c r="F27" s="40">
        <v>0</v>
      </c>
      <c r="H27" s="29"/>
      <c r="I27" s="107"/>
      <c r="J27" s="71"/>
      <c r="K27" s="30">
        <v>0</v>
      </c>
      <c r="L27" s="80" t="e">
        <f>J27/K27</f>
        <v>#DIV/0!</v>
      </c>
    </row>
    <row r="28" spans="1:14" ht="15.75" thickBot="1" x14ac:dyDescent="0.3">
      <c r="F28" s="40">
        <v>0</v>
      </c>
      <c r="H28" s="96"/>
      <c r="I28" s="108"/>
      <c r="J28" s="98"/>
      <c r="K28" s="30">
        <v>0</v>
      </c>
      <c r="L28" s="80"/>
    </row>
    <row r="29" spans="1:14" x14ac:dyDescent="0.25">
      <c r="H29" s="97" t="s">
        <v>168</v>
      </c>
      <c r="I29" s="101">
        <f>SUM(I22:I28)</f>
        <v>0</v>
      </c>
      <c r="J29" s="99"/>
      <c r="K29" s="100">
        <v>50</v>
      </c>
      <c r="L29" s="80"/>
    </row>
    <row r="30" spans="1:14" x14ac:dyDescent="0.25">
      <c r="H30" s="31"/>
      <c r="I30" s="32"/>
      <c r="J30" s="95"/>
      <c r="K30" s="31"/>
      <c r="L30" s="80"/>
    </row>
    <row r="31" spans="1:14" ht="15.75" thickBot="1" x14ac:dyDescent="0.3">
      <c r="F31" s="42"/>
      <c r="H31" s="31"/>
      <c r="I31" s="32"/>
      <c r="J31" s="32"/>
      <c r="K31" s="31"/>
    </row>
    <row r="32" spans="1:14" x14ac:dyDescent="0.25">
      <c r="F32" s="75"/>
      <c r="G32" s="33"/>
      <c r="H32" s="33"/>
      <c r="I32" s="33"/>
      <c r="J32" s="33"/>
      <c r="K32" s="33"/>
      <c r="L32" s="33"/>
      <c r="M32" s="34"/>
      <c r="N32" s="11"/>
    </row>
    <row r="33" spans="1:18" ht="33.6" customHeight="1" x14ac:dyDescent="0.25">
      <c r="F33" s="35" t="s">
        <v>92</v>
      </c>
      <c r="G33" s="139" t="s">
        <v>57</v>
      </c>
      <c r="H33" s="139"/>
      <c r="I33" s="139"/>
      <c r="J33" s="139"/>
      <c r="K33" s="139"/>
      <c r="L33" s="139"/>
      <c r="M33" s="140"/>
      <c r="N33" s="72"/>
    </row>
    <row r="34" spans="1:18" ht="32.1" customHeight="1" thickBot="1" x14ac:dyDescent="0.3">
      <c r="F34" s="36" t="s">
        <v>92</v>
      </c>
      <c r="G34" s="141" t="s">
        <v>377</v>
      </c>
      <c r="H34" s="141"/>
      <c r="I34" s="141"/>
      <c r="J34" s="141"/>
      <c r="K34" s="141"/>
      <c r="L34" s="141"/>
      <c r="M34" s="142"/>
      <c r="N34" s="72"/>
    </row>
    <row r="35" spans="1:18" x14ac:dyDescent="0.25">
      <c r="F35" s="143" t="s">
        <v>177</v>
      </c>
      <c r="G35" s="144"/>
      <c r="H35" s="144"/>
      <c r="I35" s="144"/>
      <c r="J35" s="144"/>
      <c r="K35" s="144"/>
      <c r="L35" s="144"/>
      <c r="M35" s="145"/>
    </row>
    <row r="36" spans="1:18" x14ac:dyDescent="0.25">
      <c r="A36" s="11"/>
      <c r="B36" s="11"/>
      <c r="C36" s="11"/>
      <c r="D36" s="11"/>
      <c r="E36" s="11"/>
      <c r="F36" s="146"/>
      <c r="G36" s="147"/>
      <c r="H36" s="147"/>
      <c r="I36" s="147"/>
      <c r="J36" s="147"/>
      <c r="K36" s="147"/>
      <c r="L36" s="147"/>
      <c r="M36" s="148"/>
      <c r="N36" s="11"/>
      <c r="O36" s="11"/>
      <c r="P36" s="11"/>
      <c r="Q36" s="11"/>
      <c r="R36" s="11"/>
    </row>
    <row r="37" spans="1:18" ht="15.75" thickBot="1" x14ac:dyDescent="0.3">
      <c r="A37" s="39"/>
      <c r="B37" s="39"/>
      <c r="C37" s="39"/>
      <c r="D37" s="39"/>
      <c r="E37" s="39"/>
      <c r="F37" s="116"/>
      <c r="G37" s="117"/>
      <c r="H37" s="117"/>
      <c r="I37" s="117"/>
      <c r="J37" s="118"/>
      <c r="K37" s="118"/>
      <c r="L37" s="118"/>
      <c r="M37" s="119"/>
      <c r="N37" s="77"/>
      <c r="O37" s="77"/>
      <c r="P37" s="77"/>
      <c r="Q37" s="11"/>
      <c r="R37" s="11"/>
    </row>
    <row r="38" spans="1:18" s="40" customFormat="1" ht="45" x14ac:dyDescent="0.25">
      <c r="A38" s="39" t="s">
        <v>112</v>
      </c>
      <c r="D38" s="37" t="s">
        <v>113</v>
      </c>
      <c r="E38" s="37" t="s">
        <v>114</v>
      </c>
      <c r="F38" s="48" t="s">
        <v>115</v>
      </c>
      <c r="G38" s="49" t="s">
        <v>116</v>
      </c>
      <c r="H38" s="37" t="s">
        <v>117</v>
      </c>
      <c r="J38" s="79"/>
      <c r="K38" s="47"/>
      <c r="L38" s="47"/>
      <c r="M38" s="47"/>
      <c r="N38" s="47"/>
      <c r="O38" s="47"/>
      <c r="P38" s="47"/>
      <c r="Q38" s="39"/>
      <c r="R38" s="39"/>
    </row>
    <row r="39" spans="1:18" s="38" customFormat="1" ht="30" x14ac:dyDescent="0.25">
      <c r="A39" s="37">
        <v>1</v>
      </c>
      <c r="B39" s="48" t="s">
        <v>118</v>
      </c>
      <c r="C39" s="38" t="s">
        <v>119</v>
      </c>
      <c r="D39" s="39" t="s">
        <v>66</v>
      </c>
      <c r="E39" s="50">
        <v>40000</v>
      </c>
      <c r="F39" s="39">
        <v>1</v>
      </c>
      <c r="G39" s="51" t="e">
        <f>#REF!</f>
        <v>#REF!</v>
      </c>
      <c r="H39" s="52">
        <f>gradeGenericQuestionRange(D39,E39:F42,1,G39)</f>
        <v>0</v>
      </c>
      <c r="J39" s="79"/>
      <c r="K39" s="77"/>
      <c r="L39" s="81"/>
      <c r="M39" s="77"/>
      <c r="N39" s="77"/>
      <c r="O39" s="77"/>
      <c r="P39" s="77"/>
      <c r="Q39" s="37"/>
      <c r="R39" s="37"/>
    </row>
    <row r="40" spans="1:18" s="40" customFormat="1" x14ac:dyDescent="0.25">
      <c r="A40" s="39"/>
      <c r="D40" s="39"/>
      <c r="E40" s="50">
        <v>-40000</v>
      </c>
      <c r="F40" s="40">
        <v>1</v>
      </c>
      <c r="G40" s="50"/>
      <c r="H40" s="52"/>
      <c r="J40" s="47"/>
      <c r="K40" s="77"/>
      <c r="L40" s="81"/>
      <c r="M40" s="77"/>
      <c r="N40" s="77"/>
      <c r="O40" s="77"/>
      <c r="P40" s="77"/>
      <c r="Q40" s="39"/>
      <c r="R40" s="39"/>
    </row>
    <row r="41" spans="1:18" s="40" customFormat="1" x14ac:dyDescent="0.25">
      <c r="A41" s="39"/>
      <c r="D41" s="39"/>
      <c r="E41" s="50">
        <v>65000</v>
      </c>
      <c r="F41" s="40">
        <v>0.5</v>
      </c>
      <c r="G41" s="50"/>
      <c r="H41" s="54"/>
      <c r="J41" s="47"/>
      <c r="K41" s="77"/>
      <c r="L41" s="81"/>
      <c r="M41" s="77"/>
      <c r="N41" s="77"/>
      <c r="O41" s="77"/>
      <c r="P41" s="77"/>
      <c r="Q41" s="39"/>
      <c r="R41" s="39"/>
    </row>
    <row r="42" spans="1:18" s="40" customFormat="1" x14ac:dyDescent="0.25">
      <c r="A42" s="39"/>
      <c r="D42" s="39"/>
      <c r="E42" s="50">
        <f>E39*8/12</f>
        <v>26666.666666666668</v>
      </c>
      <c r="F42" s="40">
        <v>0.5</v>
      </c>
      <c r="G42" s="50"/>
      <c r="H42" s="54"/>
      <c r="J42" s="47"/>
      <c r="K42" s="77"/>
      <c r="L42" s="81"/>
      <c r="M42" s="77"/>
      <c r="N42" s="77"/>
      <c r="O42" s="77"/>
      <c r="P42" s="77"/>
      <c r="Q42" s="39"/>
      <c r="R42" s="39"/>
    </row>
    <row r="43" spans="1:18" s="40" customFormat="1" ht="30" x14ac:dyDescent="0.25">
      <c r="A43" s="39"/>
      <c r="B43" s="39"/>
      <c r="C43" s="55" t="s">
        <v>120</v>
      </c>
      <c r="D43" s="39" t="s">
        <v>66</v>
      </c>
      <c r="E43" s="50">
        <v>12000</v>
      </c>
      <c r="F43" s="39">
        <v>1</v>
      </c>
      <c r="G43" s="50" t="e">
        <f>#REF!</f>
        <v>#REF!</v>
      </c>
      <c r="H43" s="52" t="str">
        <f>gradeGenericQuestion(D43,E43:E44,F43,G43)</f>
        <v>2Exception</v>
      </c>
      <c r="J43" s="78"/>
      <c r="K43" s="77"/>
      <c r="L43" s="77"/>
      <c r="M43" s="77"/>
      <c r="N43" s="77"/>
      <c r="O43" s="77"/>
      <c r="P43" s="77"/>
      <c r="Q43" s="39"/>
      <c r="R43" s="39"/>
    </row>
    <row r="44" spans="1:18" s="40" customFormat="1" x14ac:dyDescent="0.25">
      <c r="A44" s="39"/>
      <c r="B44" s="39"/>
      <c r="C44" s="39"/>
      <c r="D44" s="39"/>
      <c r="E44" s="50">
        <v>-12000</v>
      </c>
      <c r="F44" s="40">
        <v>1</v>
      </c>
      <c r="G44" s="50"/>
      <c r="H44" s="54"/>
      <c r="J44" s="77"/>
      <c r="K44" s="77"/>
      <c r="L44" s="78"/>
      <c r="M44" s="78"/>
      <c r="N44" s="78"/>
      <c r="O44" s="77"/>
      <c r="P44" s="77"/>
      <c r="Q44" s="39"/>
      <c r="R44" s="39"/>
    </row>
    <row r="45" spans="1:18" s="40" customFormat="1" x14ac:dyDescent="0.25">
      <c r="A45" s="39"/>
      <c r="B45" s="39"/>
      <c r="C45" s="39" t="s">
        <v>121</v>
      </c>
      <c r="D45" s="39" t="s">
        <v>66</v>
      </c>
      <c r="E45" s="50">
        <v>8671.75</v>
      </c>
      <c r="F45" s="39">
        <v>1</v>
      </c>
      <c r="G45" s="50" t="e">
        <f>#REF!</f>
        <v>#REF!</v>
      </c>
      <c r="H45" s="52">
        <f>gradeGenericQuestionRange(D45,E45:F49,1,G45)</f>
        <v>0</v>
      </c>
      <c r="J45" s="78"/>
      <c r="K45" s="77"/>
      <c r="L45" s="77"/>
      <c r="M45" s="78"/>
      <c r="N45" s="78"/>
      <c r="O45" s="77"/>
      <c r="P45" s="77"/>
      <c r="Q45" s="39"/>
      <c r="R45" s="39"/>
    </row>
    <row r="46" spans="1:18" s="40" customFormat="1" x14ac:dyDescent="0.25">
      <c r="A46" s="39"/>
      <c r="B46" s="39"/>
      <c r="C46" s="39"/>
      <c r="D46" s="39"/>
      <c r="E46" s="50">
        <v>8672</v>
      </c>
      <c r="F46" s="39">
        <v>1</v>
      </c>
      <c r="G46" s="50"/>
      <c r="H46" s="56"/>
      <c r="J46" s="78"/>
      <c r="K46" s="77"/>
      <c r="L46" s="82"/>
      <c r="M46" s="47"/>
      <c r="N46" s="78"/>
      <c r="O46" s="77"/>
      <c r="P46" s="77"/>
      <c r="Q46" s="39"/>
      <c r="R46" s="39"/>
    </row>
    <row r="47" spans="1:18" s="40" customFormat="1" x14ac:dyDescent="0.25">
      <c r="A47" s="39"/>
      <c r="B47" s="39"/>
      <c r="C47" s="39"/>
      <c r="D47" s="39"/>
      <c r="E47" s="50">
        <v>-8671.75</v>
      </c>
      <c r="F47" s="40">
        <v>1</v>
      </c>
      <c r="G47" s="57"/>
      <c r="H47" s="56"/>
      <c r="J47" s="78"/>
      <c r="K47" s="77"/>
      <c r="L47" s="78"/>
      <c r="M47" s="78"/>
      <c r="N47" s="77"/>
      <c r="O47" s="77"/>
      <c r="P47" s="77"/>
      <c r="Q47" s="39"/>
      <c r="R47" s="39"/>
    </row>
    <row r="48" spans="1:18" s="40" customFormat="1" x14ac:dyDescent="0.25">
      <c r="A48" s="39"/>
      <c r="B48" s="39"/>
      <c r="C48" s="39"/>
      <c r="D48" s="39"/>
      <c r="E48" s="50">
        <v>-8672</v>
      </c>
      <c r="F48" s="40">
        <v>1</v>
      </c>
      <c r="G48" s="57"/>
      <c r="H48" s="54"/>
      <c r="J48" s="77"/>
      <c r="K48" s="77"/>
      <c r="L48" s="78"/>
      <c r="M48" s="78"/>
      <c r="N48" s="78"/>
      <c r="O48" s="77"/>
      <c r="P48" s="77"/>
      <c r="Q48" s="39"/>
      <c r="R48" s="39"/>
    </row>
    <row r="49" spans="1:18" s="40" customFormat="1" x14ac:dyDescent="0.25">
      <c r="A49" s="39"/>
      <c r="B49" s="39"/>
      <c r="C49" s="39"/>
      <c r="D49" s="39"/>
      <c r="E49" s="50">
        <f>(80000-10000)*2/8</f>
        <v>17500</v>
      </c>
      <c r="F49" s="40">
        <v>0.5</v>
      </c>
      <c r="G49" s="57"/>
      <c r="H49" s="54"/>
      <c r="J49" s="77"/>
      <c r="K49" s="77"/>
      <c r="L49" s="78"/>
      <c r="M49" s="78"/>
      <c r="N49" s="78"/>
      <c r="O49" s="77"/>
      <c r="P49" s="77"/>
      <c r="Q49" s="39"/>
      <c r="R49" s="39"/>
    </row>
    <row r="50" spans="1:18" s="40" customFormat="1" ht="30" x14ac:dyDescent="0.25">
      <c r="A50" s="39"/>
      <c r="B50" s="39"/>
      <c r="C50" s="55" t="s">
        <v>122</v>
      </c>
      <c r="D50" s="39" t="s">
        <v>66</v>
      </c>
      <c r="E50" s="50">
        <v>5400</v>
      </c>
      <c r="F50" s="40">
        <v>1</v>
      </c>
      <c r="G50" s="57" t="e">
        <f>#REF!</f>
        <v>#REF!</v>
      </c>
      <c r="H50" s="52">
        <f>gradeGenericQuestionRange(D50,E50:F52,1,G50)</f>
        <v>0</v>
      </c>
      <c r="J50" s="77"/>
      <c r="K50" s="83"/>
      <c r="L50" s="77"/>
      <c r="M50" s="77"/>
      <c r="N50" s="77"/>
      <c r="O50" s="77"/>
      <c r="P50" s="77"/>
      <c r="Q50" s="39"/>
      <c r="R50" s="39"/>
    </row>
    <row r="51" spans="1:18" s="40" customFormat="1" x14ac:dyDescent="0.25">
      <c r="A51" s="39"/>
      <c r="B51" s="39"/>
      <c r="C51" s="39"/>
      <c r="D51" s="37"/>
      <c r="E51" s="50">
        <v>-5400</v>
      </c>
      <c r="F51" s="40">
        <v>1</v>
      </c>
      <c r="G51" s="57"/>
      <c r="H51" s="53"/>
      <c r="J51" s="77"/>
      <c r="K51" s="83"/>
      <c r="L51" s="78"/>
      <c r="M51" s="78"/>
      <c r="N51" s="47"/>
      <c r="O51" s="77"/>
      <c r="P51" s="82"/>
      <c r="Q51" s="39"/>
      <c r="R51" s="39"/>
    </row>
    <row r="52" spans="1:18" s="40" customFormat="1" x14ac:dyDescent="0.25">
      <c r="A52" s="39"/>
      <c r="B52" s="39"/>
      <c r="C52" s="39"/>
      <c r="D52" s="39"/>
      <c r="E52" s="50">
        <f>100000/500000*30000</f>
        <v>6000</v>
      </c>
      <c r="F52" s="40">
        <v>0.5</v>
      </c>
      <c r="G52" s="57"/>
      <c r="H52" s="53"/>
      <c r="J52" s="77"/>
      <c r="K52" s="83"/>
      <c r="L52" s="77"/>
      <c r="M52" s="77"/>
      <c r="N52" s="77"/>
      <c r="O52" s="77"/>
      <c r="P52" s="78"/>
      <c r="Q52" s="37"/>
      <c r="R52" s="39"/>
    </row>
    <row r="53" spans="1:18" s="40" customFormat="1" x14ac:dyDescent="0.25">
      <c r="A53" s="39"/>
      <c r="B53" s="37"/>
      <c r="C53" s="39"/>
      <c r="D53" s="39"/>
      <c r="E53" s="50"/>
      <c r="F53" s="39"/>
      <c r="G53" s="50"/>
      <c r="J53" s="77"/>
      <c r="K53" s="77"/>
      <c r="L53" s="77"/>
      <c r="M53" s="77"/>
      <c r="N53" s="77"/>
      <c r="O53" s="77"/>
      <c r="P53" s="77"/>
      <c r="R53" s="39"/>
    </row>
    <row r="54" spans="1:18" s="40" customFormat="1" x14ac:dyDescent="0.25">
      <c r="A54" s="37">
        <v>1</v>
      </c>
      <c r="B54" s="37" t="s">
        <v>123</v>
      </c>
      <c r="C54" s="37" t="s">
        <v>119</v>
      </c>
      <c r="D54" s="39" t="s">
        <v>66</v>
      </c>
      <c r="E54" s="50">
        <v>266667</v>
      </c>
      <c r="F54" s="39">
        <v>1</v>
      </c>
      <c r="G54" s="57" t="e">
        <f>#REF!</f>
        <v>#REF!</v>
      </c>
      <c r="H54" s="52" t="str">
        <f>gradeGenericQuestion(D54,E54:E55,F54,G54)</f>
        <v>2Exception</v>
      </c>
      <c r="J54" s="77"/>
      <c r="K54" s="77"/>
      <c r="L54" s="77"/>
      <c r="M54" s="77"/>
      <c r="N54" s="77"/>
      <c r="O54" s="77"/>
      <c r="P54" s="77"/>
      <c r="Q54" s="39"/>
      <c r="R54" s="39"/>
    </row>
    <row r="55" spans="1:18" s="40" customFormat="1" x14ac:dyDescent="0.25">
      <c r="A55" s="37"/>
      <c r="B55" s="37"/>
      <c r="C55" s="37"/>
      <c r="D55" s="37"/>
      <c r="E55" s="50">
        <f>226667+65000</f>
        <v>291667</v>
      </c>
      <c r="F55" s="39">
        <v>1</v>
      </c>
      <c r="G55" s="50"/>
      <c r="H55" s="58"/>
      <c r="J55" s="77"/>
      <c r="K55" s="77"/>
      <c r="L55" s="77"/>
      <c r="M55" s="77"/>
      <c r="N55" s="77"/>
      <c r="O55" s="77"/>
      <c r="P55" s="77"/>
      <c r="Q55" s="39"/>
      <c r="R55" s="39"/>
    </row>
    <row r="56" spans="1:18" s="40" customFormat="1" x14ac:dyDescent="0.25">
      <c r="A56" s="37"/>
      <c r="B56" s="39"/>
      <c r="C56" s="39"/>
      <c r="D56" s="37"/>
      <c r="E56" s="50"/>
      <c r="G56" s="50"/>
      <c r="J56" s="77"/>
      <c r="K56" s="77"/>
      <c r="L56" s="77"/>
      <c r="M56" s="77"/>
      <c r="N56" s="77"/>
      <c r="O56" s="77"/>
      <c r="P56" s="77"/>
      <c r="Q56" s="39"/>
      <c r="R56" s="39"/>
    </row>
    <row r="57" spans="1:18" s="40" customFormat="1" x14ac:dyDescent="0.25">
      <c r="A57" s="39"/>
      <c r="B57" s="39"/>
      <c r="C57" s="39" t="s">
        <v>124</v>
      </c>
      <c r="D57" s="39" t="s">
        <v>66</v>
      </c>
      <c r="E57" s="50">
        <v>80000</v>
      </c>
      <c r="F57" s="59">
        <v>1</v>
      </c>
      <c r="G57" s="60" t="e">
        <f>#REF!</f>
        <v>#REF!</v>
      </c>
      <c r="H57" s="52" t="str">
        <f>gradeGenericQuestion(D57,E57,F57,G57)</f>
        <v>2Exception</v>
      </c>
      <c r="J57" s="77"/>
      <c r="K57" s="77"/>
      <c r="L57" s="77"/>
      <c r="M57" s="77"/>
      <c r="N57" s="77"/>
      <c r="O57" s="77"/>
      <c r="P57" s="77"/>
      <c r="Q57" s="39"/>
      <c r="R57" s="39"/>
    </row>
    <row r="58" spans="1:18" s="40" customFormat="1" x14ac:dyDescent="0.25">
      <c r="A58" s="39"/>
      <c r="E58" s="57"/>
      <c r="J58" s="78"/>
      <c r="K58" s="78"/>
      <c r="L58" s="78"/>
      <c r="M58" s="78"/>
      <c r="N58" s="78"/>
      <c r="O58" s="78"/>
      <c r="P58" s="78"/>
      <c r="Q58" s="39"/>
      <c r="R58" s="39"/>
    </row>
    <row r="59" spans="1:18" s="40" customFormat="1" x14ac:dyDescent="0.25">
      <c r="A59" s="39"/>
      <c r="B59" s="39"/>
      <c r="C59" s="39" t="s">
        <v>121</v>
      </c>
      <c r="D59" s="39" t="s">
        <v>66</v>
      </c>
      <c r="E59" s="50">
        <v>53984.75</v>
      </c>
      <c r="F59" s="39">
        <v>1</v>
      </c>
      <c r="G59" s="50" t="e">
        <f>#REF!</f>
        <v>#REF!</v>
      </c>
      <c r="H59" s="52" t="str">
        <f>gradeGenericQuestion(D59,E59:E61,F59,G59)</f>
        <v>2Exception</v>
      </c>
      <c r="J59" s="77"/>
      <c r="K59" s="77"/>
      <c r="L59" s="77"/>
      <c r="M59" s="77"/>
      <c r="N59" s="77"/>
      <c r="O59" s="77"/>
      <c r="P59" s="77"/>
      <c r="Q59" s="39"/>
      <c r="R59" s="39"/>
    </row>
    <row r="60" spans="1:18" s="40" customFormat="1" x14ac:dyDescent="0.25">
      <c r="A60" s="39"/>
      <c r="B60" s="39"/>
      <c r="C60" s="39"/>
      <c r="D60" s="39"/>
      <c r="E60" s="50">
        <v>53985</v>
      </c>
      <c r="F60" s="39">
        <v>1</v>
      </c>
      <c r="G60" s="39"/>
      <c r="H60" s="39"/>
      <c r="J60" s="77"/>
      <c r="K60" s="77"/>
      <c r="L60" s="77"/>
      <c r="M60" s="77"/>
      <c r="N60" s="77"/>
      <c r="O60" s="77"/>
      <c r="P60" s="77"/>
      <c r="Q60" s="39"/>
      <c r="R60" s="39"/>
    </row>
    <row r="61" spans="1:18" s="40" customFormat="1" x14ac:dyDescent="0.25">
      <c r="A61" s="39"/>
      <c r="B61" s="39"/>
      <c r="C61" s="39"/>
      <c r="D61" s="39"/>
      <c r="E61" s="50">
        <v>62813</v>
      </c>
      <c r="F61" s="39">
        <v>1</v>
      </c>
      <c r="G61" s="39"/>
      <c r="H61" s="39"/>
      <c r="J61" s="77"/>
      <c r="K61" s="77"/>
      <c r="L61" s="77"/>
      <c r="M61" s="77"/>
      <c r="N61" s="77"/>
      <c r="O61" s="77"/>
      <c r="P61" s="77"/>
      <c r="Q61" s="39"/>
      <c r="R61" s="39"/>
    </row>
    <row r="62" spans="1:18" s="40" customFormat="1" x14ac:dyDescent="0.25">
      <c r="A62" s="39"/>
      <c r="B62" s="39"/>
      <c r="C62" s="39"/>
      <c r="D62" s="39"/>
      <c r="E62" s="50"/>
      <c r="F62" s="39"/>
      <c r="G62" s="39"/>
      <c r="H62" s="39"/>
      <c r="J62" s="77"/>
      <c r="K62" s="77"/>
      <c r="L62" s="77"/>
      <c r="M62" s="77"/>
      <c r="N62" s="77"/>
      <c r="O62" s="77"/>
      <c r="P62" s="78"/>
      <c r="R62" s="39"/>
    </row>
    <row r="63" spans="1:18" s="40" customFormat="1" x14ac:dyDescent="0.25">
      <c r="C63" s="40" t="s">
        <v>125</v>
      </c>
      <c r="D63" s="40" t="s">
        <v>66</v>
      </c>
      <c r="E63" s="57">
        <v>5400</v>
      </c>
      <c r="F63" s="40">
        <v>1</v>
      </c>
      <c r="G63" s="40" t="e">
        <f>#REF!</f>
        <v>#REF!</v>
      </c>
      <c r="H63" s="52" t="str">
        <f>gradeGenericQuestion(D63,E63:E64,F63,G63)</f>
        <v>2Exception</v>
      </c>
      <c r="J63" s="78"/>
      <c r="K63" s="78"/>
      <c r="L63" s="78"/>
      <c r="M63" s="78"/>
      <c r="N63" s="78"/>
      <c r="O63" s="78"/>
      <c r="P63" s="78"/>
    </row>
    <row r="64" spans="1:18" s="40" customFormat="1" x14ac:dyDescent="0.25">
      <c r="E64" s="57">
        <v>6000</v>
      </c>
      <c r="F64" s="40">
        <v>1</v>
      </c>
      <c r="J64" s="78"/>
      <c r="K64" s="78"/>
      <c r="L64" s="78"/>
      <c r="M64" s="78"/>
      <c r="N64" s="78"/>
      <c r="O64" s="78"/>
      <c r="P64" s="78"/>
    </row>
    <row r="65" spans="1:16" s="40" customFormat="1" x14ac:dyDescent="0.25">
      <c r="C65" s="40" t="s">
        <v>129</v>
      </c>
      <c r="E65" s="57"/>
      <c r="H65" s="38">
        <f>SUM(H39,H43,H45,H50,H54,H57,H59,H63)</f>
        <v>0</v>
      </c>
      <c r="J65" s="78"/>
      <c r="K65" s="78"/>
      <c r="L65" s="78"/>
      <c r="M65" s="78"/>
      <c r="N65" s="78"/>
      <c r="O65" s="78"/>
      <c r="P65" s="78"/>
    </row>
    <row r="66" spans="1:16" s="40" customFormat="1" x14ac:dyDescent="0.25">
      <c r="E66" s="57"/>
      <c r="J66" s="78"/>
      <c r="K66" s="78"/>
      <c r="L66" s="78"/>
      <c r="M66" s="78"/>
      <c r="N66" s="78"/>
      <c r="O66" s="78"/>
      <c r="P66" s="78"/>
    </row>
    <row r="67" spans="1:16" s="40" customFormat="1" x14ac:dyDescent="0.25">
      <c r="A67" s="40">
        <v>2</v>
      </c>
      <c r="B67" s="40" t="s">
        <v>126</v>
      </c>
      <c r="C67" s="61">
        <v>43830</v>
      </c>
      <c r="D67" s="40" t="s">
        <v>127</v>
      </c>
      <c r="E67" s="57" t="s">
        <v>0</v>
      </c>
      <c r="F67" s="40">
        <v>0.5</v>
      </c>
      <c r="G67" s="52" t="e">
        <f>#REF!</f>
        <v>#REF!</v>
      </c>
      <c r="H67" s="52" t="str">
        <f>gradeGenericQuestion(D67,E67,F67,G67)</f>
        <v>2Exception</v>
      </c>
      <c r="J67" s="78"/>
      <c r="K67" s="78"/>
      <c r="L67" s="78"/>
      <c r="M67" s="78"/>
      <c r="N67" s="78"/>
      <c r="O67" s="78"/>
      <c r="P67" s="78"/>
    </row>
    <row r="68" spans="1:16" s="40" customFormat="1" x14ac:dyDescent="0.25">
      <c r="C68" s="61"/>
      <c r="D68" s="40" t="s">
        <v>128</v>
      </c>
      <c r="E68" s="57">
        <v>17500</v>
      </c>
      <c r="F68" s="40">
        <v>0.5</v>
      </c>
      <c r="G68" s="62" t="e">
        <f>#REF!</f>
        <v>#REF!</v>
      </c>
      <c r="H68" s="52" t="str">
        <f>gradeGenericQuestion(D68,E68,F68,G68)</f>
        <v>2Exception</v>
      </c>
      <c r="J68" s="78"/>
      <c r="K68" s="78"/>
      <c r="L68" s="78"/>
      <c r="M68" s="78"/>
      <c r="N68" s="78"/>
      <c r="O68" s="78"/>
      <c r="P68" s="78"/>
    </row>
    <row r="69" spans="1:16" s="40" customFormat="1" x14ac:dyDescent="0.25">
      <c r="D69" s="40" t="s">
        <v>127</v>
      </c>
      <c r="E69" s="57" t="s">
        <v>107</v>
      </c>
      <c r="F69" s="40">
        <v>0.5</v>
      </c>
      <c r="G69" s="52" t="e">
        <f>#REF!</f>
        <v>#REF!</v>
      </c>
      <c r="H69" s="52" t="str">
        <f>gradeGenericQuestion(D69,E69,F69,G69)</f>
        <v>2Exception</v>
      </c>
      <c r="J69" s="78"/>
      <c r="K69" s="78"/>
      <c r="L69" s="78"/>
      <c r="M69" s="78"/>
      <c r="N69" s="78"/>
      <c r="O69" s="78"/>
      <c r="P69" s="78"/>
    </row>
    <row r="70" spans="1:16" s="40" customFormat="1" x14ac:dyDescent="0.25">
      <c r="D70" s="40" t="s">
        <v>128</v>
      </c>
      <c r="E70" s="57">
        <v>17500</v>
      </c>
      <c r="F70" s="40">
        <v>0.5</v>
      </c>
      <c r="G70" s="62" t="e">
        <f>#REF!</f>
        <v>#REF!</v>
      </c>
      <c r="H70" s="52" t="str">
        <f>gradeGenericQuestion(D70,E70,F70,G70)</f>
        <v>2Exception</v>
      </c>
      <c r="J70" s="78"/>
      <c r="K70" s="78"/>
      <c r="L70" s="78"/>
      <c r="M70" s="78"/>
      <c r="N70" s="78"/>
      <c r="O70" s="78"/>
      <c r="P70" s="78"/>
    </row>
    <row r="71" spans="1:16" s="40" customFormat="1" x14ac:dyDescent="0.25">
      <c r="G71" s="52"/>
      <c r="J71" s="78"/>
      <c r="K71" s="78"/>
      <c r="L71" s="78"/>
      <c r="M71" s="78"/>
      <c r="N71" s="78"/>
      <c r="O71" s="78"/>
      <c r="P71" s="78"/>
    </row>
    <row r="72" spans="1:16" s="40" customFormat="1" x14ac:dyDescent="0.25">
      <c r="C72" s="61">
        <v>43496</v>
      </c>
      <c r="D72" s="40" t="s">
        <v>127</v>
      </c>
      <c r="E72" s="40" t="s">
        <v>107</v>
      </c>
      <c r="F72" s="40">
        <v>0.5</v>
      </c>
      <c r="G72" s="52" t="e">
        <f>#REF!</f>
        <v>#REF!</v>
      </c>
      <c r="H72" s="52" t="str">
        <f t="shared" ref="H72:H79" si="0">gradeGenericQuestion(D72,E72,F72,G72)</f>
        <v>2Exception</v>
      </c>
      <c r="J72" s="78"/>
      <c r="K72" s="78"/>
      <c r="L72" s="78"/>
      <c r="M72" s="78"/>
      <c r="N72" s="78"/>
      <c r="O72" s="78"/>
      <c r="P72" s="78"/>
    </row>
    <row r="73" spans="1:16" s="40" customFormat="1" x14ac:dyDescent="0.25">
      <c r="D73" s="40" t="s">
        <v>128</v>
      </c>
      <c r="E73" s="40">
        <v>15000</v>
      </c>
      <c r="F73" s="40">
        <v>0.5</v>
      </c>
      <c r="G73" s="62" t="e">
        <f>#REF!</f>
        <v>#REF!</v>
      </c>
      <c r="H73" s="52" t="str">
        <f t="shared" si="0"/>
        <v>2Exception</v>
      </c>
      <c r="J73" s="78"/>
      <c r="K73" s="78"/>
      <c r="L73" s="78"/>
      <c r="M73" s="78"/>
      <c r="N73" s="78"/>
      <c r="O73" s="78"/>
      <c r="P73" s="78"/>
    </row>
    <row r="74" spans="1:16" s="40" customFormat="1" x14ac:dyDescent="0.25">
      <c r="D74" s="40" t="s">
        <v>127</v>
      </c>
      <c r="E74" s="40" t="s">
        <v>108</v>
      </c>
      <c r="F74" s="40">
        <v>0.5</v>
      </c>
      <c r="G74" s="52" t="e">
        <f>#REF!</f>
        <v>#REF!</v>
      </c>
      <c r="H74" s="52" t="str">
        <f t="shared" si="0"/>
        <v>2Exception</v>
      </c>
      <c r="J74" s="78"/>
      <c r="K74" s="78"/>
      <c r="L74" s="78"/>
      <c r="M74" s="78"/>
      <c r="N74" s="78"/>
      <c r="O74" s="78"/>
      <c r="P74" s="78"/>
    </row>
    <row r="75" spans="1:16" s="40" customFormat="1" x14ac:dyDescent="0.25">
      <c r="D75" s="40" t="s">
        <v>128</v>
      </c>
      <c r="E75" s="40">
        <v>15000</v>
      </c>
      <c r="F75" s="40">
        <v>0.5</v>
      </c>
      <c r="G75" s="62" t="e">
        <f>#REF!</f>
        <v>#REF!</v>
      </c>
      <c r="H75" s="52" t="str">
        <f t="shared" si="0"/>
        <v>2Exception</v>
      </c>
      <c r="J75" s="78"/>
      <c r="K75" s="78"/>
      <c r="L75" s="78"/>
      <c r="M75" s="78"/>
      <c r="N75" s="78"/>
      <c r="O75" s="78"/>
      <c r="P75" s="78"/>
    </row>
    <row r="76" spans="1:16" s="40" customFormat="1" x14ac:dyDescent="0.25">
      <c r="D76" s="40" t="s">
        <v>127</v>
      </c>
      <c r="E76" s="40" t="s">
        <v>24</v>
      </c>
      <c r="F76" s="40">
        <v>0.5</v>
      </c>
      <c r="G76" s="52" t="e">
        <f>#REF!</f>
        <v>#REF!</v>
      </c>
      <c r="H76" s="52" t="str">
        <f t="shared" si="0"/>
        <v>2Exception</v>
      </c>
      <c r="J76" s="78"/>
      <c r="K76" s="78"/>
      <c r="L76" s="78"/>
      <c r="M76" s="78"/>
      <c r="N76" s="78"/>
      <c r="O76" s="78"/>
      <c r="P76" s="78"/>
    </row>
    <row r="77" spans="1:16" s="40" customFormat="1" x14ac:dyDescent="0.25">
      <c r="D77" s="40" t="s">
        <v>128</v>
      </c>
      <c r="E77" s="40">
        <v>13000</v>
      </c>
      <c r="F77" s="40">
        <v>0.5</v>
      </c>
      <c r="G77" s="62" t="e">
        <f>#REF!</f>
        <v>#REF!</v>
      </c>
      <c r="H77" s="52" t="str">
        <f t="shared" si="0"/>
        <v>2Exception</v>
      </c>
      <c r="J77" s="78"/>
      <c r="K77" s="78"/>
      <c r="L77" s="78"/>
      <c r="M77" s="78"/>
      <c r="N77" s="78"/>
      <c r="O77" s="78"/>
      <c r="P77" s="78"/>
    </row>
    <row r="78" spans="1:16" s="40" customFormat="1" x14ac:dyDescent="0.25">
      <c r="D78" s="40" t="s">
        <v>127</v>
      </c>
      <c r="E78" s="40" t="s">
        <v>3</v>
      </c>
      <c r="F78" s="40">
        <v>0.5</v>
      </c>
      <c r="G78" s="52" t="e">
        <f>#REF!</f>
        <v>#REF!</v>
      </c>
      <c r="H78" s="52" t="str">
        <f t="shared" si="0"/>
        <v>2Exception</v>
      </c>
      <c r="J78" s="78"/>
      <c r="K78" s="78"/>
      <c r="L78" s="78"/>
      <c r="M78" s="78"/>
      <c r="N78" s="78"/>
      <c r="O78" s="78"/>
      <c r="P78" s="78"/>
    </row>
    <row r="79" spans="1:16" s="40" customFormat="1" x14ac:dyDescent="0.25">
      <c r="D79" s="40" t="s">
        <v>128</v>
      </c>
      <c r="E79" s="40">
        <v>13000</v>
      </c>
      <c r="F79" s="40">
        <v>0.5</v>
      </c>
      <c r="G79" s="62" t="e">
        <f>#REF!</f>
        <v>#REF!</v>
      </c>
      <c r="H79" s="52" t="str">
        <f t="shared" si="0"/>
        <v>2Exception</v>
      </c>
      <c r="J79" s="78"/>
      <c r="K79" s="78"/>
      <c r="L79" s="78"/>
      <c r="M79" s="78"/>
      <c r="N79" s="78"/>
      <c r="O79" s="78"/>
      <c r="P79" s="78"/>
    </row>
    <row r="80" spans="1:16" s="40" customFormat="1" x14ac:dyDescent="0.25">
      <c r="G80" s="52"/>
      <c r="J80" s="78"/>
      <c r="K80" s="78"/>
      <c r="L80" s="78"/>
      <c r="M80" s="78"/>
      <c r="N80" s="78"/>
      <c r="O80" s="78"/>
      <c r="P80" s="78"/>
    </row>
    <row r="81" spans="1:16" s="40" customFormat="1" x14ac:dyDescent="0.25">
      <c r="C81" s="61">
        <v>43496</v>
      </c>
      <c r="D81" s="40" t="s">
        <v>127</v>
      </c>
      <c r="E81" s="40" t="s">
        <v>107</v>
      </c>
      <c r="F81" s="40">
        <v>0.5</v>
      </c>
      <c r="G81" s="52" t="e">
        <f>#REF!</f>
        <v>#REF!</v>
      </c>
      <c r="H81" s="52" t="str">
        <f>gradeGenericQuestion(D81,E81,F81,G81)</f>
        <v>2Exception</v>
      </c>
      <c r="J81" s="78"/>
      <c r="K81" s="78"/>
      <c r="L81" s="78"/>
      <c r="M81" s="78"/>
      <c r="N81" s="78"/>
      <c r="O81" s="78"/>
      <c r="P81" s="78"/>
    </row>
    <row r="82" spans="1:16" s="40" customFormat="1" x14ac:dyDescent="0.25">
      <c r="D82" s="40" t="s">
        <v>128</v>
      </c>
      <c r="E82" s="40">
        <v>625</v>
      </c>
      <c r="F82" s="40">
        <v>0.5</v>
      </c>
      <c r="G82" s="63" t="e">
        <f>#REF!</f>
        <v>#REF!</v>
      </c>
      <c r="H82" s="52" t="str">
        <f>gradeGenericQuestion(D82,E82,F82,G82)</f>
        <v>2Exception</v>
      </c>
      <c r="J82" s="78"/>
      <c r="K82" s="78"/>
      <c r="L82" s="78"/>
      <c r="M82" s="78"/>
      <c r="N82" s="78"/>
      <c r="O82" s="78"/>
      <c r="P82" s="78"/>
    </row>
    <row r="83" spans="1:16" s="40" customFormat="1" x14ac:dyDescent="0.25">
      <c r="D83" s="40" t="s">
        <v>127</v>
      </c>
      <c r="E83" s="40" t="s">
        <v>108</v>
      </c>
      <c r="F83" s="40">
        <v>0.5</v>
      </c>
      <c r="G83" s="52" t="e">
        <f>#REF!</f>
        <v>#REF!</v>
      </c>
      <c r="H83" s="52" t="str">
        <f>gradeGenericQuestion(D83,E83,F83,G83)</f>
        <v>2Exception</v>
      </c>
      <c r="J83" s="78"/>
      <c r="K83" s="78"/>
      <c r="L83" s="78"/>
      <c r="M83" s="78"/>
      <c r="N83" s="78"/>
      <c r="O83" s="78"/>
      <c r="P83" s="78"/>
    </row>
    <row r="84" spans="1:16" s="40" customFormat="1" x14ac:dyDescent="0.25">
      <c r="D84" s="40" t="s">
        <v>128</v>
      </c>
      <c r="E84" s="40">
        <v>625</v>
      </c>
      <c r="F84" s="40">
        <v>0.5</v>
      </c>
      <c r="G84" s="63" t="e">
        <f>#REF!</f>
        <v>#REF!</v>
      </c>
      <c r="H84" s="52" t="str">
        <f>gradeGenericQuestion(D84,E84,F84,G84)</f>
        <v>2Exception</v>
      </c>
      <c r="J84" s="78"/>
      <c r="K84" s="78"/>
      <c r="L84" s="78"/>
      <c r="M84" s="78"/>
      <c r="N84" s="78"/>
      <c r="O84" s="78"/>
      <c r="P84" s="78"/>
    </row>
    <row r="85" spans="1:16" s="40" customFormat="1" x14ac:dyDescent="0.25">
      <c r="C85" s="40" t="s">
        <v>129</v>
      </c>
      <c r="G85" s="52"/>
      <c r="H85" s="38">
        <f>SUM(H67:H70,H72:H79,H81:H84)</f>
        <v>0</v>
      </c>
      <c r="J85" s="78"/>
      <c r="K85" s="78"/>
      <c r="L85" s="78"/>
      <c r="M85" s="78"/>
      <c r="N85" s="78"/>
      <c r="O85" s="78"/>
      <c r="P85" s="78"/>
    </row>
    <row r="86" spans="1:16" s="40" customFormat="1" x14ac:dyDescent="0.25">
      <c r="G86" s="52"/>
      <c r="J86" s="78"/>
      <c r="K86" s="78"/>
      <c r="L86" s="78"/>
      <c r="M86" s="78"/>
      <c r="N86" s="78"/>
      <c r="O86" s="78"/>
      <c r="P86" s="78"/>
    </row>
    <row r="87" spans="1:16" s="40" customFormat="1" x14ac:dyDescent="0.25">
      <c r="A87" s="40">
        <v>3</v>
      </c>
      <c r="B87" s="40" t="s">
        <v>130</v>
      </c>
      <c r="C87" s="61">
        <v>43468</v>
      </c>
      <c r="D87" s="40" t="s">
        <v>127</v>
      </c>
      <c r="E87" s="40" t="s">
        <v>0</v>
      </c>
      <c r="F87" s="40">
        <v>0.5</v>
      </c>
      <c r="G87" s="40" t="e">
        <f>#REF!</f>
        <v>#REF!</v>
      </c>
      <c r="H87" s="52" t="str">
        <f>gradeGenericQuestion(D87,E87,F87,G87)</f>
        <v>2Exception</v>
      </c>
      <c r="J87" s="78"/>
      <c r="K87" s="78"/>
      <c r="L87" s="78"/>
      <c r="M87" s="78"/>
      <c r="N87" s="78"/>
      <c r="O87" s="78"/>
      <c r="P87" s="78"/>
    </row>
    <row r="88" spans="1:16" s="40" customFormat="1" x14ac:dyDescent="0.25">
      <c r="D88" s="40" t="s">
        <v>128</v>
      </c>
      <c r="E88" s="40">
        <v>1400000</v>
      </c>
      <c r="F88" s="40">
        <v>0.5</v>
      </c>
      <c r="G88" s="64" t="e">
        <f>#REF!</f>
        <v>#REF!</v>
      </c>
      <c r="H88" s="52" t="str">
        <f>gradeGenericQuestion(D88,E88,F88,G88)</f>
        <v>2Exception</v>
      </c>
      <c r="J88" s="78"/>
      <c r="K88" s="78"/>
      <c r="L88" s="78"/>
      <c r="M88" s="78"/>
      <c r="N88" s="78"/>
      <c r="O88" s="78"/>
      <c r="P88" s="78"/>
    </row>
    <row r="89" spans="1:16" s="40" customFormat="1" x14ac:dyDescent="0.25">
      <c r="D89" s="40" t="s">
        <v>127</v>
      </c>
      <c r="E89" s="40" t="s">
        <v>5</v>
      </c>
      <c r="F89" s="40">
        <v>0.5</v>
      </c>
      <c r="G89" s="40" t="e">
        <f>#REF!</f>
        <v>#REF!</v>
      </c>
      <c r="H89" s="52" t="str">
        <f>gradeGenericQuestion(D89,E89,F89,G89)</f>
        <v>2Exception</v>
      </c>
      <c r="J89" s="78"/>
      <c r="K89" s="78"/>
      <c r="L89" s="78"/>
      <c r="M89" s="78"/>
      <c r="N89" s="78"/>
      <c r="O89" s="78"/>
      <c r="P89" s="78"/>
    </row>
    <row r="90" spans="1:16" s="40" customFormat="1" x14ac:dyDescent="0.25">
      <c r="D90" s="40" t="s">
        <v>128</v>
      </c>
      <c r="E90" s="40">
        <v>1400000</v>
      </c>
      <c r="F90" s="40">
        <v>0.5</v>
      </c>
      <c r="G90" s="64" t="e">
        <f>#REF!</f>
        <v>#REF!</v>
      </c>
      <c r="H90" s="52" t="str">
        <f>gradeGenericQuestion(D90,E90,F90,G90)</f>
        <v>2Exception</v>
      </c>
      <c r="J90" s="78"/>
      <c r="K90" s="78"/>
      <c r="L90" s="78"/>
      <c r="M90" s="78"/>
      <c r="N90" s="78"/>
      <c r="O90" s="78"/>
      <c r="P90" s="78"/>
    </row>
    <row r="91" spans="1:16" s="40" customFormat="1" x14ac:dyDescent="0.25">
      <c r="J91" s="78"/>
      <c r="K91" s="78"/>
      <c r="L91" s="78"/>
      <c r="M91" s="78"/>
      <c r="N91" s="78"/>
      <c r="O91" s="78"/>
      <c r="P91" s="78"/>
    </row>
    <row r="92" spans="1:16" s="40" customFormat="1" x14ac:dyDescent="0.25">
      <c r="C92" s="61">
        <v>43471</v>
      </c>
      <c r="D92" s="40" t="s">
        <v>127</v>
      </c>
      <c r="E92" s="40" t="s">
        <v>0</v>
      </c>
      <c r="F92" s="40">
        <v>0.5</v>
      </c>
      <c r="G92" s="40" t="e">
        <f>#REF!</f>
        <v>#REF!</v>
      </c>
      <c r="H92" s="52" t="str">
        <f>gradeGenericQuestion(D92,E92,F92,G92)</f>
        <v>2Exception</v>
      </c>
      <c r="J92" s="78"/>
      <c r="K92" s="78"/>
      <c r="L92" s="78"/>
      <c r="M92" s="78"/>
      <c r="N92" s="78"/>
      <c r="O92" s="78"/>
      <c r="P92" s="78"/>
    </row>
    <row r="93" spans="1:16" s="40" customFormat="1" x14ac:dyDescent="0.25">
      <c r="D93" s="40" t="s">
        <v>128</v>
      </c>
      <c r="E93" s="65">
        <v>360000</v>
      </c>
      <c r="F93" s="40">
        <v>0.5</v>
      </c>
      <c r="G93" s="64" t="e">
        <f>#REF!</f>
        <v>#REF!</v>
      </c>
      <c r="H93" s="52" t="str">
        <f>gradeGenericQuestion(D93,E93,F93,G93)</f>
        <v>2Exception</v>
      </c>
      <c r="J93" s="78"/>
      <c r="K93" s="78"/>
      <c r="L93" s="78"/>
      <c r="M93" s="78"/>
      <c r="N93" s="78"/>
      <c r="O93" s="78"/>
      <c r="P93" s="78"/>
    </row>
    <row r="94" spans="1:16" s="40" customFormat="1" x14ac:dyDescent="0.25">
      <c r="D94" s="40" t="s">
        <v>131</v>
      </c>
      <c r="E94" s="40" t="s">
        <v>109</v>
      </c>
      <c r="F94" s="40">
        <v>0.5</v>
      </c>
      <c r="G94" s="40" t="e">
        <f>#REF!</f>
        <v>#REF!</v>
      </c>
      <c r="H94" s="52" t="str">
        <f>gradeGenericQuestion(D94,E94,F94,G94)</f>
        <v>2Exception</v>
      </c>
      <c r="J94" s="78"/>
      <c r="K94" s="78"/>
      <c r="L94" s="78"/>
      <c r="M94" s="78"/>
      <c r="N94" s="78"/>
      <c r="O94" s="78"/>
      <c r="P94" s="78"/>
    </row>
    <row r="95" spans="1:16" s="40" customFormat="1" x14ac:dyDescent="0.25">
      <c r="D95" s="40" t="s">
        <v>128</v>
      </c>
      <c r="E95" s="65">
        <v>360000</v>
      </c>
      <c r="F95" s="40">
        <v>0.5</v>
      </c>
      <c r="G95" s="64" t="e">
        <f>#REF!</f>
        <v>#REF!</v>
      </c>
      <c r="H95" s="52" t="str">
        <f>gradeGenericQuestion(D95,E95,F95,G95)</f>
        <v>2Exception</v>
      </c>
      <c r="J95" s="78"/>
      <c r="K95" s="78"/>
      <c r="L95" s="78"/>
      <c r="M95" s="78"/>
      <c r="N95" s="78"/>
      <c r="O95" s="78"/>
      <c r="P95" s="78"/>
    </row>
    <row r="96" spans="1:16" s="40" customFormat="1" x14ac:dyDescent="0.25">
      <c r="J96" s="78"/>
      <c r="K96" s="78"/>
      <c r="L96" s="78"/>
      <c r="M96" s="78"/>
      <c r="N96" s="78"/>
      <c r="O96" s="78"/>
      <c r="P96" s="78"/>
    </row>
    <row r="97" spans="2:16" s="40" customFormat="1" x14ac:dyDescent="0.25">
      <c r="C97" s="61">
        <v>43555</v>
      </c>
      <c r="D97" s="40" t="s">
        <v>127</v>
      </c>
      <c r="E97" s="40" t="s">
        <v>25</v>
      </c>
      <c r="F97" s="40">
        <v>0.5</v>
      </c>
      <c r="G97" s="40" t="e">
        <f>#REF!</f>
        <v>#REF!</v>
      </c>
      <c r="H97" s="52" t="str">
        <f>gradeGenericQuestion(D97,E97:E98,F97,G97)</f>
        <v>2Exception</v>
      </c>
      <c r="J97" s="78"/>
      <c r="K97" s="78"/>
      <c r="L97" s="78"/>
      <c r="M97" s="78"/>
      <c r="N97" s="78"/>
      <c r="O97" s="78"/>
      <c r="P97" s="78"/>
    </row>
    <row r="98" spans="2:16" s="40" customFormat="1" x14ac:dyDescent="0.25">
      <c r="C98" s="61"/>
      <c r="E98" s="40" t="s">
        <v>6</v>
      </c>
      <c r="J98" s="78"/>
      <c r="K98" s="78"/>
      <c r="L98" s="78"/>
      <c r="M98" s="78"/>
      <c r="N98" s="78"/>
      <c r="O98" s="78"/>
      <c r="P98" s="78"/>
    </row>
    <row r="99" spans="2:16" s="40" customFormat="1" x14ac:dyDescent="0.25">
      <c r="D99" s="40" t="s">
        <v>128</v>
      </c>
      <c r="E99" s="65">
        <v>720000</v>
      </c>
      <c r="F99" s="40">
        <v>0.5</v>
      </c>
      <c r="G99" s="66" t="e">
        <f>#REF!</f>
        <v>#REF!</v>
      </c>
      <c r="H99" s="52" t="str">
        <f>gradeGenericQuestion(D99,E99,F99,G99)</f>
        <v>2Exception</v>
      </c>
      <c r="J99" s="78"/>
      <c r="K99" s="78"/>
      <c r="L99" s="78"/>
      <c r="M99" s="78"/>
      <c r="N99" s="78"/>
      <c r="O99" s="78"/>
      <c r="P99" s="78"/>
    </row>
    <row r="100" spans="2:16" s="40" customFormat="1" x14ac:dyDescent="0.25">
      <c r="D100" s="40" t="s">
        <v>127</v>
      </c>
      <c r="E100" s="40" t="s">
        <v>39</v>
      </c>
      <c r="F100" s="40">
        <v>0.5</v>
      </c>
      <c r="G100" s="40" t="e">
        <f>#REF!</f>
        <v>#REF!</v>
      </c>
      <c r="H100" s="52" t="str">
        <f>gradeGenericQuestion(D100,E100,F100,G100)</f>
        <v>2Exception</v>
      </c>
      <c r="J100" s="78"/>
      <c r="K100" s="78"/>
      <c r="L100" s="78"/>
      <c r="M100" s="78"/>
      <c r="N100" s="78"/>
      <c r="O100" s="78"/>
      <c r="P100" s="78"/>
    </row>
    <row r="101" spans="2:16" s="40" customFormat="1" x14ac:dyDescent="0.25">
      <c r="D101" s="40" t="s">
        <v>128</v>
      </c>
      <c r="E101" s="65">
        <f>E99</f>
        <v>720000</v>
      </c>
      <c r="F101" s="40">
        <v>0.5</v>
      </c>
      <c r="G101" s="66" t="e">
        <f>#REF!</f>
        <v>#REF!</v>
      </c>
      <c r="H101" s="52" t="str">
        <f>gradeGenericQuestion(D101,E101,F101,G101)</f>
        <v>2Exception</v>
      </c>
      <c r="J101" s="78"/>
      <c r="K101" s="78"/>
      <c r="L101" s="78"/>
      <c r="M101" s="78"/>
      <c r="N101" s="78"/>
      <c r="O101" s="78"/>
      <c r="P101" s="78"/>
    </row>
    <row r="102" spans="2:16" s="40" customFormat="1" x14ac:dyDescent="0.25">
      <c r="J102" s="78"/>
      <c r="K102" s="78"/>
      <c r="L102" s="78"/>
      <c r="M102" s="78"/>
      <c r="N102" s="78"/>
      <c r="O102" s="78"/>
      <c r="P102" s="78"/>
    </row>
    <row r="103" spans="2:16" s="40" customFormat="1" x14ac:dyDescent="0.25">
      <c r="C103" s="61">
        <v>43567</v>
      </c>
      <c r="D103" s="40" t="s">
        <v>131</v>
      </c>
      <c r="E103" s="40" t="s">
        <v>25</v>
      </c>
      <c r="F103" s="40">
        <v>0.5</v>
      </c>
      <c r="G103" s="40" t="e">
        <f>#REF!</f>
        <v>#REF!</v>
      </c>
      <c r="H103" s="52" t="str">
        <f>gradeGenericQuestion(D103,E103:E104,F103,G103)</f>
        <v>2Exception</v>
      </c>
      <c r="J103" s="78"/>
      <c r="K103" s="78"/>
      <c r="L103" s="78"/>
      <c r="M103" s="78"/>
      <c r="N103" s="78"/>
      <c r="O103" s="78"/>
      <c r="P103" s="78"/>
    </row>
    <row r="104" spans="2:16" s="40" customFormat="1" x14ac:dyDescent="0.25">
      <c r="C104" s="61"/>
      <c r="E104" s="40" t="s">
        <v>6</v>
      </c>
      <c r="J104" s="78"/>
      <c r="K104" s="78"/>
      <c r="L104" s="78"/>
      <c r="M104" s="78"/>
      <c r="N104" s="78"/>
      <c r="O104" s="78"/>
      <c r="P104" s="78"/>
    </row>
    <row r="105" spans="2:16" s="40" customFormat="1" x14ac:dyDescent="0.25">
      <c r="D105" s="40" t="s">
        <v>128</v>
      </c>
      <c r="E105" s="65">
        <v>1380000</v>
      </c>
      <c r="F105" s="40">
        <v>0.5</v>
      </c>
      <c r="G105" s="66" t="e">
        <f>#REF!</f>
        <v>#REF!</v>
      </c>
      <c r="H105" s="52" t="str">
        <f>gradeGenericQuestion(D105,E105,F105,G105)</f>
        <v>2Exception</v>
      </c>
      <c r="J105" s="78"/>
      <c r="K105" s="78"/>
      <c r="L105" s="78"/>
      <c r="M105" s="78"/>
      <c r="N105" s="78"/>
      <c r="O105" s="78"/>
      <c r="P105" s="78"/>
    </row>
    <row r="106" spans="2:16" s="40" customFormat="1" x14ac:dyDescent="0.25">
      <c r="D106" s="40" t="s">
        <v>131</v>
      </c>
      <c r="E106" s="40" t="s">
        <v>39</v>
      </c>
      <c r="F106" s="40">
        <v>0.5</v>
      </c>
      <c r="G106" s="40" t="e">
        <f>#REF!</f>
        <v>#REF!</v>
      </c>
      <c r="H106" s="52" t="str">
        <f>gradeGenericQuestion(D106,E106,F106,G106)</f>
        <v>2Exception</v>
      </c>
      <c r="J106" s="78"/>
      <c r="K106" s="78"/>
      <c r="L106" s="78"/>
      <c r="M106" s="78"/>
      <c r="N106" s="78"/>
      <c r="O106" s="78"/>
      <c r="P106" s="78"/>
    </row>
    <row r="107" spans="2:16" s="40" customFormat="1" x14ac:dyDescent="0.25">
      <c r="D107" s="40" t="s">
        <v>128</v>
      </c>
      <c r="E107" s="65">
        <v>1380000</v>
      </c>
      <c r="F107" s="40">
        <v>0.5</v>
      </c>
      <c r="G107" s="66" t="e">
        <f>#REF!</f>
        <v>#REF!</v>
      </c>
      <c r="H107" s="52" t="str">
        <f>gradeGenericQuestion(D107,E107,F107,G107)</f>
        <v>2Exception</v>
      </c>
      <c r="J107" s="78"/>
      <c r="K107" s="78"/>
      <c r="L107" s="78"/>
      <c r="M107" s="78"/>
      <c r="N107" s="78"/>
      <c r="O107" s="78"/>
      <c r="P107" s="78"/>
    </row>
    <row r="108" spans="2:16" s="40" customFormat="1" x14ac:dyDescent="0.25">
      <c r="J108" s="78"/>
      <c r="K108" s="78"/>
      <c r="L108" s="78"/>
      <c r="M108" s="78"/>
      <c r="N108" s="78"/>
      <c r="O108" s="78"/>
      <c r="P108" s="78"/>
    </row>
    <row r="109" spans="2:16" s="40" customFormat="1" x14ac:dyDescent="0.25">
      <c r="B109" s="40" t="s">
        <v>132</v>
      </c>
      <c r="C109" s="40" t="s">
        <v>133</v>
      </c>
      <c r="D109" s="40" t="s">
        <v>128</v>
      </c>
      <c r="E109" s="65">
        <v>6200000</v>
      </c>
      <c r="F109" s="40">
        <v>0.5</v>
      </c>
      <c r="G109" s="40" t="e">
        <f>#REF!</f>
        <v>#REF!</v>
      </c>
      <c r="H109" s="52" t="str">
        <f>gradeGenericQuestion(D109,E109,F109,G109)</f>
        <v>2Exception</v>
      </c>
      <c r="J109" s="78"/>
      <c r="K109" s="78"/>
      <c r="L109" s="78"/>
      <c r="M109" s="78"/>
      <c r="N109" s="78"/>
      <c r="O109" s="78"/>
      <c r="P109" s="78"/>
    </row>
    <row r="110" spans="2:16" s="40" customFormat="1" x14ac:dyDescent="0.25">
      <c r="D110" s="40" t="s">
        <v>128</v>
      </c>
      <c r="E110" s="65">
        <v>6200000</v>
      </c>
      <c r="F110" s="40">
        <v>0.5</v>
      </c>
      <c r="G110" s="40" t="e">
        <f>#REF!</f>
        <v>#REF!</v>
      </c>
      <c r="H110" s="52" t="str">
        <f>gradeGenericQuestion(D110,E110,F110,G110)</f>
        <v>2Exception</v>
      </c>
      <c r="J110" s="78"/>
      <c r="K110" s="78"/>
      <c r="L110" s="78"/>
      <c r="M110" s="78"/>
      <c r="N110" s="78"/>
      <c r="O110" s="78"/>
      <c r="P110" s="78"/>
    </row>
    <row r="111" spans="2:16" s="40" customFormat="1" x14ac:dyDescent="0.25">
      <c r="J111" s="78"/>
      <c r="K111" s="78"/>
      <c r="L111" s="78"/>
      <c r="M111" s="78"/>
      <c r="N111" s="78"/>
      <c r="O111" s="78"/>
      <c r="P111" s="78"/>
    </row>
    <row r="112" spans="2:16" s="40" customFormat="1" x14ac:dyDescent="0.25">
      <c r="C112" s="40" t="s">
        <v>134</v>
      </c>
      <c r="D112" s="40" t="s">
        <v>128</v>
      </c>
      <c r="E112" s="65">
        <v>100000</v>
      </c>
      <c r="F112" s="40">
        <v>0.5</v>
      </c>
      <c r="G112" s="40" t="e">
        <f>#REF!</f>
        <v>#REF!</v>
      </c>
      <c r="H112" s="52" t="str">
        <f>gradeGenericQuestion(D112,E112,F112,G112)</f>
        <v>2Exception</v>
      </c>
      <c r="J112" s="78"/>
      <c r="K112" s="78"/>
      <c r="L112" s="78"/>
      <c r="M112" s="78"/>
      <c r="N112" s="78"/>
      <c r="O112" s="78"/>
      <c r="P112" s="78"/>
    </row>
    <row r="113" spans="3:16" s="40" customFormat="1" x14ac:dyDescent="0.25">
      <c r="D113" s="40" t="s">
        <v>128</v>
      </c>
      <c r="E113" s="65">
        <v>1400000</v>
      </c>
      <c r="F113" s="40">
        <v>0.5</v>
      </c>
      <c r="G113" s="40" t="e">
        <f>#REF!</f>
        <v>#REF!</v>
      </c>
      <c r="H113" s="52" t="str">
        <f>gradeGenericQuestion(D113,E113,F113,G113)</f>
        <v>2Exception</v>
      </c>
      <c r="J113" s="78"/>
      <c r="K113" s="78"/>
      <c r="L113" s="78"/>
      <c r="M113" s="78"/>
      <c r="N113" s="78"/>
      <c r="O113" s="78"/>
      <c r="P113" s="78"/>
    </row>
    <row r="114" spans="3:16" s="40" customFormat="1" x14ac:dyDescent="0.25">
      <c r="D114" s="40" t="s">
        <v>128</v>
      </c>
      <c r="E114" s="65">
        <v>12000</v>
      </c>
      <c r="F114" s="40">
        <v>0.5</v>
      </c>
      <c r="G114" s="40" t="e">
        <f>#REF!</f>
        <v>#REF!</v>
      </c>
      <c r="H114" s="52" t="str">
        <f>gradeGenericQuestion(D114,E114,F114,G114)</f>
        <v>2Exception</v>
      </c>
      <c r="J114" s="78"/>
      <c r="K114" s="78"/>
      <c r="L114" s="78"/>
      <c r="M114" s="78"/>
      <c r="N114" s="78"/>
      <c r="O114" s="78"/>
      <c r="P114" s="78"/>
    </row>
    <row r="115" spans="3:16" s="40" customFormat="1" x14ac:dyDescent="0.25">
      <c r="D115" s="40" t="s">
        <v>128</v>
      </c>
      <c r="E115" s="65">
        <v>360000</v>
      </c>
      <c r="F115" s="40">
        <v>0.5</v>
      </c>
      <c r="G115" s="40" t="e">
        <f>#REF!</f>
        <v>#REF!</v>
      </c>
      <c r="H115" s="52" t="str">
        <f>gradeGenericQuestion(D115,E115,F115,G115)</f>
        <v>2Exception</v>
      </c>
      <c r="J115" s="78"/>
      <c r="K115" s="78"/>
      <c r="L115" s="78"/>
      <c r="M115" s="78"/>
      <c r="N115" s="78"/>
      <c r="O115" s="78"/>
      <c r="P115" s="78"/>
    </row>
    <row r="116" spans="3:16" s="40" customFormat="1" x14ac:dyDescent="0.25">
      <c r="D116" s="40" t="s">
        <v>128</v>
      </c>
      <c r="E116" s="65">
        <v>1760000</v>
      </c>
      <c r="F116" s="40">
        <v>0.5</v>
      </c>
      <c r="G116" s="40" t="e">
        <f>#REF!</f>
        <v>#REF!</v>
      </c>
      <c r="H116" s="52" t="str">
        <f>gradeGenericQuestion(D116,E116,F116,G116)</f>
        <v>2Exception</v>
      </c>
      <c r="J116" s="78"/>
      <c r="K116" s="78"/>
      <c r="L116" s="78"/>
      <c r="M116" s="78"/>
      <c r="N116" s="78"/>
      <c r="O116" s="78"/>
      <c r="P116" s="78"/>
    </row>
    <row r="117" spans="3:16" s="40" customFormat="1" x14ac:dyDescent="0.25">
      <c r="J117" s="78"/>
      <c r="K117" s="78"/>
      <c r="L117" s="78"/>
      <c r="M117" s="78"/>
      <c r="N117" s="78"/>
      <c r="O117" s="78"/>
      <c r="P117" s="78"/>
    </row>
    <row r="118" spans="3:16" s="40" customFormat="1" x14ac:dyDescent="0.25">
      <c r="C118" s="40" t="s">
        <v>135</v>
      </c>
      <c r="D118" s="40" t="s">
        <v>128</v>
      </c>
      <c r="E118" s="65">
        <v>-2100000</v>
      </c>
      <c r="F118" s="40">
        <v>0.5</v>
      </c>
      <c r="G118" s="40" t="e">
        <f>#REF!</f>
        <v>#REF!</v>
      </c>
      <c r="H118" s="52" t="str">
        <f>gradeGenericQuestion(D118,E118:E119,F118,G118)</f>
        <v>2Exception</v>
      </c>
      <c r="J118" s="78"/>
      <c r="K118" s="78"/>
      <c r="L118" s="78"/>
      <c r="M118" s="78"/>
      <c r="N118" s="78"/>
      <c r="O118" s="78"/>
      <c r="P118" s="78"/>
    </row>
    <row r="119" spans="3:16" s="40" customFormat="1" x14ac:dyDescent="0.25">
      <c r="E119" s="65">
        <v>2100000</v>
      </c>
      <c r="F119" s="40">
        <v>0.5</v>
      </c>
      <c r="J119" s="78"/>
      <c r="K119" s="78"/>
      <c r="L119" s="78"/>
      <c r="M119" s="78"/>
      <c r="N119" s="78"/>
      <c r="O119" s="78"/>
      <c r="P119" s="78"/>
    </row>
    <row r="120" spans="3:16" s="40" customFormat="1" x14ac:dyDescent="0.25">
      <c r="D120" s="40" t="s">
        <v>128</v>
      </c>
      <c r="E120" s="65">
        <v>-2100000</v>
      </c>
      <c r="F120" s="40">
        <v>0.5</v>
      </c>
      <c r="G120" s="40" t="e">
        <f>#REF!</f>
        <v>#REF!</v>
      </c>
      <c r="H120" s="52" t="str">
        <f>gradeGenericQuestion(D120,E120:E121,F120,G120)</f>
        <v>2Exception</v>
      </c>
      <c r="J120" s="78"/>
      <c r="K120" s="78"/>
      <c r="L120" s="78"/>
      <c r="M120" s="78"/>
      <c r="N120" s="78"/>
      <c r="O120" s="78"/>
      <c r="P120" s="78"/>
    </row>
    <row r="121" spans="3:16" s="40" customFormat="1" x14ac:dyDescent="0.25">
      <c r="E121" s="65">
        <v>2100000</v>
      </c>
      <c r="F121" s="40">
        <v>0.5</v>
      </c>
      <c r="J121" s="78"/>
      <c r="K121" s="78"/>
      <c r="L121" s="78"/>
      <c r="M121" s="78"/>
      <c r="N121" s="78"/>
      <c r="O121" s="78"/>
      <c r="P121" s="78"/>
    </row>
    <row r="122" spans="3:16" s="40" customFormat="1" x14ac:dyDescent="0.25">
      <c r="J122" s="78"/>
      <c r="K122" s="78"/>
      <c r="L122" s="78"/>
      <c r="M122" s="78"/>
      <c r="N122" s="78"/>
      <c r="O122" s="78"/>
      <c r="P122" s="78"/>
    </row>
    <row r="123" spans="3:16" s="40" customFormat="1" x14ac:dyDescent="0.25">
      <c r="C123" s="40" t="s">
        <v>136</v>
      </c>
      <c r="D123" s="40" t="s">
        <v>128</v>
      </c>
      <c r="E123" s="65">
        <v>2300000</v>
      </c>
      <c r="F123" s="40">
        <v>0.5</v>
      </c>
      <c r="G123" s="40" t="e">
        <f>#REF!</f>
        <v>#REF!</v>
      </c>
      <c r="H123" s="52" t="str">
        <f t="shared" ref="H123:H128" si="1">gradeGenericQuestion(D123,E123,F123,G123)</f>
        <v>2Exception</v>
      </c>
      <c r="J123" s="78"/>
      <c r="K123" s="78"/>
      <c r="L123" s="78"/>
      <c r="M123" s="78"/>
      <c r="N123" s="78"/>
      <c r="O123" s="78"/>
      <c r="P123" s="78"/>
    </row>
    <row r="124" spans="3:16" s="40" customFormat="1" x14ac:dyDescent="0.25">
      <c r="D124" s="40" t="s">
        <v>128</v>
      </c>
      <c r="E124" s="65">
        <v>27800000</v>
      </c>
      <c r="F124" s="40">
        <v>0.5</v>
      </c>
      <c r="G124" s="40" t="e">
        <f>#REF!</f>
        <v>#REF!</v>
      </c>
      <c r="H124" s="52" t="str">
        <f t="shared" si="1"/>
        <v>2Exception</v>
      </c>
      <c r="J124" s="78"/>
      <c r="K124" s="78"/>
      <c r="L124" s="78"/>
      <c r="M124" s="78"/>
      <c r="N124" s="78"/>
      <c r="O124" s="78"/>
      <c r="P124" s="78"/>
    </row>
    <row r="125" spans="3:16" s="40" customFormat="1" x14ac:dyDescent="0.25">
      <c r="D125" s="40" t="s">
        <v>128</v>
      </c>
      <c r="E125" s="65">
        <v>262000</v>
      </c>
      <c r="F125" s="40">
        <v>0.5</v>
      </c>
      <c r="G125" s="40" t="e">
        <f>#REF!</f>
        <v>#REF!</v>
      </c>
      <c r="H125" s="52" t="str">
        <f t="shared" si="1"/>
        <v>2Exception</v>
      </c>
      <c r="J125" s="78"/>
      <c r="K125" s="78"/>
      <c r="L125" s="78"/>
      <c r="M125" s="78"/>
      <c r="N125" s="78"/>
      <c r="O125" s="78"/>
      <c r="P125" s="78"/>
    </row>
    <row r="126" spans="3:16" s="40" customFormat="1" x14ac:dyDescent="0.25">
      <c r="D126" s="40" t="s">
        <v>128</v>
      </c>
      <c r="E126" s="65">
        <v>7360000</v>
      </c>
      <c r="F126" s="40">
        <v>0.5</v>
      </c>
      <c r="G126" s="40" t="e">
        <f>#REF!</f>
        <v>#REF!</v>
      </c>
      <c r="H126" s="52" t="str">
        <f t="shared" si="1"/>
        <v>2Exception</v>
      </c>
      <c r="J126" s="78"/>
      <c r="K126" s="78"/>
      <c r="L126" s="78"/>
      <c r="M126" s="78"/>
      <c r="N126" s="78"/>
      <c r="O126" s="78"/>
      <c r="P126" s="78"/>
    </row>
    <row r="127" spans="3:16" s="40" customFormat="1" x14ac:dyDescent="0.25">
      <c r="D127" s="40" t="s">
        <v>128</v>
      </c>
      <c r="E127" s="65">
        <v>27100000</v>
      </c>
      <c r="F127" s="40">
        <v>0.5</v>
      </c>
      <c r="G127" s="40" t="e">
        <f>#REF!</f>
        <v>#REF!</v>
      </c>
      <c r="H127" s="52" t="str">
        <f t="shared" si="1"/>
        <v>2Exception</v>
      </c>
      <c r="J127" s="78"/>
      <c r="K127" s="78"/>
      <c r="L127" s="78"/>
      <c r="M127" s="78"/>
      <c r="N127" s="78"/>
      <c r="O127" s="78"/>
      <c r="P127" s="78"/>
    </row>
    <row r="128" spans="3:16" s="40" customFormat="1" x14ac:dyDescent="0.25">
      <c r="D128" s="40" t="s">
        <v>128</v>
      </c>
      <c r="E128" s="65">
        <v>62260000</v>
      </c>
      <c r="F128" s="40">
        <v>1</v>
      </c>
      <c r="G128" s="40" t="e">
        <f>#REF!</f>
        <v>#REF!</v>
      </c>
      <c r="H128" s="52" t="str">
        <f t="shared" si="1"/>
        <v>2Exception</v>
      </c>
      <c r="J128" s="78"/>
      <c r="K128" s="78"/>
      <c r="L128" s="78"/>
      <c r="M128" s="78"/>
      <c r="N128" s="78"/>
      <c r="O128" s="78"/>
      <c r="P128" s="78"/>
    </row>
    <row r="129" spans="1:16" s="40" customFormat="1" x14ac:dyDescent="0.25">
      <c r="C129" s="40" t="s">
        <v>129</v>
      </c>
      <c r="H129" s="38">
        <f>SUM(H87:H128)</f>
        <v>0</v>
      </c>
      <c r="J129" s="78"/>
      <c r="K129" s="78"/>
      <c r="L129" s="78"/>
      <c r="M129" s="78"/>
      <c r="N129" s="78"/>
      <c r="O129" s="78"/>
      <c r="P129" s="78"/>
    </row>
    <row r="130" spans="1:16" s="40" customFormat="1" x14ac:dyDescent="0.25">
      <c r="A130" s="40" t="s">
        <v>137</v>
      </c>
      <c r="B130" s="40" t="s">
        <v>138</v>
      </c>
      <c r="C130" s="40">
        <v>2020</v>
      </c>
      <c r="D130" s="40" t="s">
        <v>128</v>
      </c>
      <c r="E130" s="40">
        <v>1.39</v>
      </c>
      <c r="F130" s="40">
        <v>0.5</v>
      </c>
      <c r="G130" s="67" t="e">
        <f>ROUND(#REF!,2)</f>
        <v>#REF!</v>
      </c>
      <c r="H130" s="52" t="str">
        <f t="shared" ref="H130:H149" si="2">gradeGenericQuestion(D130,E130,F130,G130)</f>
        <v>2Exception</v>
      </c>
      <c r="J130" s="78"/>
      <c r="K130" s="78"/>
      <c r="L130" s="78"/>
      <c r="M130" s="78"/>
      <c r="N130" s="78"/>
      <c r="O130" s="78"/>
      <c r="P130" s="78"/>
    </row>
    <row r="131" spans="1:16" s="40" customFormat="1" x14ac:dyDescent="0.25">
      <c r="C131" s="40">
        <v>2019</v>
      </c>
      <c r="D131" s="40" t="s">
        <v>128</v>
      </c>
      <c r="E131" s="40">
        <v>1.36</v>
      </c>
      <c r="F131" s="40">
        <v>0.5</v>
      </c>
      <c r="G131" s="67" t="e">
        <f>ROUND(#REF!,2)</f>
        <v>#REF!</v>
      </c>
      <c r="H131" s="52" t="str">
        <f t="shared" si="2"/>
        <v>2Exception</v>
      </c>
      <c r="J131" s="78"/>
      <c r="K131" s="78"/>
      <c r="L131" s="78"/>
      <c r="M131" s="78"/>
      <c r="N131" s="78"/>
      <c r="O131" s="78"/>
      <c r="P131" s="78"/>
    </row>
    <row r="132" spans="1:16" s="40" customFormat="1" x14ac:dyDescent="0.25">
      <c r="C132" s="40" t="s">
        <v>139</v>
      </c>
      <c r="D132" s="40" t="s">
        <v>127</v>
      </c>
      <c r="E132" s="40" t="s">
        <v>111</v>
      </c>
      <c r="F132" s="40">
        <v>0.5</v>
      </c>
      <c r="G132" s="40" t="e">
        <f>#REF!</f>
        <v>#REF!</v>
      </c>
      <c r="H132" s="52" t="str">
        <f t="shared" si="2"/>
        <v>2Exception</v>
      </c>
      <c r="J132" s="78"/>
      <c r="K132" s="78"/>
      <c r="L132" s="78"/>
      <c r="M132" s="78"/>
      <c r="N132" s="78"/>
      <c r="O132" s="78"/>
      <c r="P132" s="78"/>
    </row>
    <row r="133" spans="1:16" s="40" customFormat="1" x14ac:dyDescent="0.25">
      <c r="B133" s="40" t="s">
        <v>140</v>
      </c>
      <c r="C133" s="40">
        <v>2020</v>
      </c>
      <c r="D133" s="40" t="s">
        <v>128</v>
      </c>
      <c r="E133" s="40">
        <v>1.19</v>
      </c>
      <c r="F133" s="40">
        <v>0.5</v>
      </c>
      <c r="G133" s="67" t="e">
        <f>ROUND(#REF!,2)</f>
        <v>#REF!</v>
      </c>
      <c r="H133" s="52" t="str">
        <f t="shared" si="2"/>
        <v>2Exception</v>
      </c>
      <c r="J133" s="78"/>
      <c r="K133" s="78"/>
      <c r="L133" s="78"/>
      <c r="M133" s="78"/>
      <c r="N133" s="78"/>
      <c r="O133" s="78"/>
      <c r="P133" s="78"/>
    </row>
    <row r="134" spans="1:16" s="40" customFormat="1" x14ac:dyDescent="0.25">
      <c r="C134" s="40">
        <v>2019</v>
      </c>
      <c r="D134" s="40" t="s">
        <v>128</v>
      </c>
      <c r="E134" s="84">
        <v>1.2</v>
      </c>
      <c r="F134" s="40">
        <v>0.5</v>
      </c>
      <c r="G134" s="67" t="e">
        <f>ROUND(#REF!,2)</f>
        <v>#REF!</v>
      </c>
      <c r="H134" s="52" t="str">
        <f t="shared" si="2"/>
        <v>2Exception</v>
      </c>
      <c r="J134" s="78"/>
      <c r="K134" s="78"/>
      <c r="L134" s="78"/>
      <c r="M134" s="78"/>
      <c r="N134" s="78"/>
      <c r="O134" s="78"/>
      <c r="P134" s="78"/>
    </row>
    <row r="135" spans="1:16" s="40" customFormat="1" x14ac:dyDescent="0.25">
      <c r="C135" s="40" t="s">
        <v>139</v>
      </c>
      <c r="D135" s="40" t="s">
        <v>127</v>
      </c>
      <c r="E135" s="40" t="s">
        <v>110</v>
      </c>
      <c r="F135" s="40">
        <v>0.5</v>
      </c>
      <c r="G135" s="40" t="e">
        <f>#REF!</f>
        <v>#REF!</v>
      </c>
      <c r="H135" s="52" t="str">
        <f t="shared" si="2"/>
        <v>2Exception</v>
      </c>
      <c r="J135" s="78"/>
      <c r="K135" s="78"/>
      <c r="L135" s="78"/>
      <c r="M135" s="78"/>
      <c r="N135" s="78"/>
      <c r="O135" s="78"/>
      <c r="P135" s="78"/>
    </row>
    <row r="136" spans="1:16" s="40" customFormat="1" x14ac:dyDescent="0.25">
      <c r="B136" s="40" t="s">
        <v>141</v>
      </c>
      <c r="D136" s="40" t="s">
        <v>128</v>
      </c>
      <c r="E136" s="40">
        <v>20.170000000000002</v>
      </c>
      <c r="F136" s="40">
        <v>0.5</v>
      </c>
      <c r="G136" s="67" t="e">
        <f>ROUND(#REF!,2)</f>
        <v>#REF!</v>
      </c>
      <c r="H136" s="52" t="str">
        <f t="shared" si="2"/>
        <v>2Exception</v>
      </c>
      <c r="J136" s="78"/>
      <c r="K136" s="78"/>
      <c r="L136" s="78"/>
      <c r="M136" s="78"/>
      <c r="N136" s="78"/>
      <c r="O136" s="78"/>
      <c r="P136" s="78"/>
    </row>
    <row r="137" spans="1:16" s="40" customFormat="1" x14ac:dyDescent="0.25">
      <c r="B137" s="40" t="s">
        <v>142</v>
      </c>
      <c r="D137" s="40" t="s">
        <v>128</v>
      </c>
      <c r="E137" s="40">
        <v>18.100000000000001</v>
      </c>
      <c r="F137" s="40">
        <v>0.5</v>
      </c>
      <c r="G137" s="67" t="e">
        <f>ROUND(#REF!,2)</f>
        <v>#REF!</v>
      </c>
      <c r="H137" s="52" t="str">
        <f t="shared" si="2"/>
        <v>2Exception</v>
      </c>
      <c r="J137" s="78"/>
      <c r="K137" s="78"/>
      <c r="L137" s="78"/>
      <c r="M137" s="78"/>
      <c r="N137" s="78"/>
      <c r="O137" s="78"/>
      <c r="P137" s="78"/>
    </row>
    <row r="138" spans="1:16" s="40" customFormat="1" x14ac:dyDescent="0.25">
      <c r="B138" s="40" t="s">
        <v>143</v>
      </c>
      <c r="D138" s="40" t="s">
        <v>128</v>
      </c>
      <c r="E138" s="40">
        <v>27.86</v>
      </c>
      <c r="F138" s="40">
        <v>0.5</v>
      </c>
      <c r="G138" s="67" t="e">
        <f>ROUND(#REF!,2)</f>
        <v>#REF!</v>
      </c>
      <c r="H138" s="52" t="str">
        <f t="shared" si="2"/>
        <v>2Exception</v>
      </c>
      <c r="J138" s="78"/>
      <c r="K138" s="78"/>
      <c r="L138" s="78"/>
      <c r="M138" s="78"/>
      <c r="N138" s="78"/>
      <c r="O138" s="78"/>
      <c r="P138" s="78"/>
    </row>
    <row r="139" spans="1:16" s="40" customFormat="1" x14ac:dyDescent="0.25">
      <c r="B139" s="40" t="s">
        <v>144</v>
      </c>
      <c r="D139" s="40" t="s">
        <v>128</v>
      </c>
      <c r="E139" s="40">
        <v>13.1</v>
      </c>
      <c r="F139" s="40">
        <v>0.5</v>
      </c>
      <c r="G139" s="67" t="e">
        <f>ROUND(#REF!,2)</f>
        <v>#REF!</v>
      </c>
      <c r="H139" s="52" t="str">
        <f t="shared" si="2"/>
        <v>2Exception</v>
      </c>
      <c r="J139" s="78"/>
      <c r="K139" s="78"/>
      <c r="L139" s="78"/>
      <c r="M139" s="78"/>
      <c r="N139" s="78"/>
      <c r="O139" s="78"/>
      <c r="P139" s="78"/>
    </row>
    <row r="140" spans="1:16" s="40" customFormat="1" x14ac:dyDescent="0.25">
      <c r="B140" s="40" t="s">
        <v>145</v>
      </c>
      <c r="D140" s="40" t="s">
        <v>128</v>
      </c>
      <c r="E140" s="40">
        <v>12.18</v>
      </c>
      <c r="F140" s="40">
        <v>0.5</v>
      </c>
      <c r="G140" s="67" t="e">
        <f>ROUND(#REF!,2)</f>
        <v>#REF!</v>
      </c>
      <c r="H140" s="52" t="str">
        <f t="shared" si="2"/>
        <v>2Exception</v>
      </c>
      <c r="J140" s="78"/>
      <c r="K140" s="78"/>
      <c r="L140" s="78"/>
      <c r="M140" s="78"/>
      <c r="N140" s="78"/>
      <c r="O140" s="78"/>
      <c r="P140" s="78"/>
    </row>
    <row r="141" spans="1:16" s="40" customFormat="1" x14ac:dyDescent="0.25">
      <c r="B141" s="40" t="s">
        <v>146</v>
      </c>
      <c r="D141" s="40" t="s">
        <v>128</v>
      </c>
      <c r="E141" s="40">
        <v>29.96</v>
      </c>
      <c r="F141" s="40">
        <v>0.5</v>
      </c>
      <c r="G141" s="67" t="e">
        <f>ROUND(#REF!,2)</f>
        <v>#REF!</v>
      </c>
      <c r="H141" s="52" t="str">
        <f t="shared" si="2"/>
        <v>2Exception</v>
      </c>
      <c r="J141" s="78"/>
      <c r="K141" s="78"/>
      <c r="L141" s="78"/>
      <c r="M141" s="78"/>
      <c r="N141" s="78"/>
      <c r="O141" s="78"/>
      <c r="P141" s="78"/>
    </row>
    <row r="142" spans="1:16" s="40" customFormat="1" x14ac:dyDescent="0.25">
      <c r="B142" s="40" t="s">
        <v>147</v>
      </c>
      <c r="C142" s="40">
        <v>2020</v>
      </c>
      <c r="D142" s="40" t="s">
        <v>128</v>
      </c>
      <c r="E142" s="68">
        <v>0.58169999999999999</v>
      </c>
      <c r="F142" s="40">
        <v>0.5</v>
      </c>
      <c r="G142" s="69" t="e">
        <f>ROUND(#REF!,4)</f>
        <v>#REF!</v>
      </c>
      <c r="H142" s="52" t="str">
        <f t="shared" si="2"/>
        <v>2Exception</v>
      </c>
      <c r="J142" s="78"/>
      <c r="K142" s="78"/>
      <c r="L142" s="78"/>
      <c r="M142" s="78"/>
      <c r="N142" s="78"/>
      <c r="O142" s="78"/>
      <c r="P142" s="78"/>
    </row>
    <row r="143" spans="1:16" s="40" customFormat="1" x14ac:dyDescent="0.25">
      <c r="C143" s="40">
        <v>2019</v>
      </c>
      <c r="D143" s="40" t="s">
        <v>128</v>
      </c>
      <c r="E143" s="68">
        <v>0.61099999999999999</v>
      </c>
      <c r="F143" s="40">
        <v>0.5</v>
      </c>
      <c r="G143" s="68" t="e">
        <f>ROUND(#REF!,4)</f>
        <v>#REF!</v>
      </c>
      <c r="H143" s="52" t="str">
        <f t="shared" si="2"/>
        <v>2Exception</v>
      </c>
      <c r="J143" s="78"/>
      <c r="K143" s="78"/>
      <c r="L143" s="78"/>
      <c r="M143" s="78"/>
      <c r="N143" s="78"/>
      <c r="O143" s="78"/>
      <c r="P143" s="78"/>
    </row>
    <row r="144" spans="1:16" s="40" customFormat="1" x14ac:dyDescent="0.25">
      <c r="C144" s="40" t="s">
        <v>139</v>
      </c>
      <c r="D144" s="40" t="s">
        <v>127</v>
      </c>
      <c r="E144" s="40" t="s">
        <v>110</v>
      </c>
      <c r="F144" s="40">
        <v>0.5</v>
      </c>
      <c r="G144" s="40" t="e">
        <f>#REF!</f>
        <v>#REF!</v>
      </c>
      <c r="H144" s="52" t="str">
        <f t="shared" si="2"/>
        <v>2Exception</v>
      </c>
      <c r="J144" s="78"/>
      <c r="K144" s="78"/>
      <c r="L144" s="78"/>
      <c r="M144" s="78"/>
      <c r="N144" s="78"/>
      <c r="O144" s="78"/>
      <c r="P144" s="78"/>
    </row>
    <row r="145" spans="1:16" s="40" customFormat="1" x14ac:dyDescent="0.25">
      <c r="B145" s="40" t="s">
        <v>148</v>
      </c>
      <c r="C145" s="40">
        <v>2020</v>
      </c>
      <c r="D145" s="40" t="s">
        <v>128</v>
      </c>
      <c r="E145" s="68">
        <v>0.14449999999999999</v>
      </c>
      <c r="F145" s="40">
        <v>0.5</v>
      </c>
      <c r="G145" s="68" t="e">
        <f>ROUND(#REF!,4)</f>
        <v>#REF!</v>
      </c>
      <c r="H145" s="52" t="str">
        <f t="shared" si="2"/>
        <v>2Exception</v>
      </c>
      <c r="J145" s="78"/>
      <c r="K145" s="78"/>
      <c r="L145" s="78"/>
      <c r="M145" s="78"/>
      <c r="N145" s="78"/>
      <c r="O145" s="78"/>
      <c r="P145" s="78"/>
    </row>
    <row r="146" spans="1:16" s="40" customFormat="1" x14ac:dyDescent="0.25">
      <c r="C146" s="40">
        <v>2019</v>
      </c>
      <c r="D146" s="40" t="s">
        <v>128</v>
      </c>
      <c r="E146" s="68">
        <v>0.1615</v>
      </c>
      <c r="F146" s="40">
        <v>0.5</v>
      </c>
      <c r="G146" s="68" t="e">
        <f>ROUND(#REF!,4)</f>
        <v>#REF!</v>
      </c>
      <c r="H146" s="52" t="str">
        <f t="shared" si="2"/>
        <v>2Exception</v>
      </c>
      <c r="J146" s="78"/>
      <c r="K146" s="78"/>
      <c r="L146" s="78"/>
      <c r="M146" s="78"/>
      <c r="N146" s="78"/>
      <c r="O146" s="78"/>
      <c r="P146" s="78"/>
    </row>
    <row r="147" spans="1:16" s="40" customFormat="1" x14ac:dyDescent="0.25">
      <c r="C147" s="40" t="s">
        <v>139</v>
      </c>
      <c r="D147" s="40" t="s">
        <v>127</v>
      </c>
      <c r="E147" s="40" t="s">
        <v>110</v>
      </c>
      <c r="F147" s="40">
        <v>0.5</v>
      </c>
      <c r="G147" s="40" t="e">
        <f>#REF!</f>
        <v>#REF!</v>
      </c>
      <c r="H147" s="52" t="str">
        <f t="shared" si="2"/>
        <v>2Exception</v>
      </c>
      <c r="J147" s="78"/>
      <c r="K147" s="78"/>
      <c r="L147" s="78"/>
      <c r="M147" s="78"/>
      <c r="N147" s="78"/>
      <c r="O147" s="78"/>
      <c r="P147" s="78"/>
    </row>
    <row r="148" spans="1:16" s="40" customFormat="1" x14ac:dyDescent="0.25">
      <c r="B148" s="40" t="s">
        <v>149</v>
      </c>
      <c r="D148" s="40" t="s">
        <v>128</v>
      </c>
      <c r="E148" s="68">
        <v>0.45419999999999999</v>
      </c>
      <c r="F148" s="40">
        <v>0.5</v>
      </c>
      <c r="G148" s="68" t="e">
        <f>ROUND(#REF!,4)</f>
        <v>#REF!</v>
      </c>
      <c r="H148" s="52" t="str">
        <f t="shared" si="2"/>
        <v>2Exception</v>
      </c>
      <c r="J148" s="78"/>
      <c r="K148" s="78"/>
      <c r="L148" s="78"/>
      <c r="M148" s="78"/>
      <c r="N148" s="78"/>
      <c r="O148" s="78"/>
      <c r="P148" s="78"/>
    </row>
    <row r="149" spans="1:16" s="40" customFormat="1" x14ac:dyDescent="0.25">
      <c r="B149" s="40" t="s">
        <v>150</v>
      </c>
      <c r="D149" s="40" t="s">
        <v>128</v>
      </c>
      <c r="E149" s="68">
        <v>0.67420000000000002</v>
      </c>
      <c r="F149" s="40">
        <v>0.5</v>
      </c>
      <c r="G149" s="68" t="e">
        <f>ROUND(#REF!,4)</f>
        <v>#REF!</v>
      </c>
      <c r="H149" s="52" t="str">
        <f t="shared" si="2"/>
        <v>2Exception</v>
      </c>
      <c r="J149" s="78"/>
      <c r="K149" s="78"/>
      <c r="L149" s="78"/>
      <c r="M149" s="78"/>
      <c r="N149" s="78"/>
      <c r="O149" s="78"/>
      <c r="P149" s="78"/>
    </row>
    <row r="150" spans="1:16" s="40" customFormat="1" x14ac:dyDescent="0.25">
      <c r="J150" s="78"/>
      <c r="K150" s="78"/>
      <c r="L150" s="78"/>
      <c r="M150" s="78"/>
      <c r="N150" s="78"/>
      <c r="O150" s="78"/>
      <c r="P150" s="78"/>
    </row>
    <row r="151" spans="1:16" s="40" customFormat="1" x14ac:dyDescent="0.25">
      <c r="B151" s="40" t="s">
        <v>151</v>
      </c>
      <c r="D151" s="40" t="s">
        <v>127</v>
      </c>
      <c r="H151" s="40">
        <v>2</v>
      </c>
      <c r="J151" s="78"/>
      <c r="K151" s="78"/>
      <c r="L151" s="78"/>
      <c r="M151" s="78"/>
      <c r="N151" s="78"/>
      <c r="O151" s="78"/>
      <c r="P151" s="78"/>
    </row>
    <row r="152" spans="1:16" s="40" customFormat="1" x14ac:dyDescent="0.25">
      <c r="B152" s="40" t="s">
        <v>152</v>
      </c>
      <c r="D152" s="40" t="s">
        <v>127</v>
      </c>
      <c r="H152" s="40">
        <v>2</v>
      </c>
      <c r="J152" s="78"/>
      <c r="K152" s="78"/>
      <c r="L152" s="78"/>
      <c r="M152" s="78"/>
      <c r="N152" s="78"/>
      <c r="O152" s="78"/>
      <c r="P152" s="78"/>
    </row>
    <row r="153" spans="1:16" s="40" customFormat="1" x14ac:dyDescent="0.25">
      <c r="B153" s="40" t="s">
        <v>153</v>
      </c>
      <c r="D153" s="40" t="s">
        <v>127</v>
      </c>
      <c r="H153" s="40">
        <v>2</v>
      </c>
      <c r="J153" s="78"/>
      <c r="K153" s="78"/>
      <c r="L153" s="78"/>
      <c r="M153" s="78"/>
      <c r="N153" s="78"/>
      <c r="O153" s="78"/>
      <c r="P153" s="78"/>
    </row>
    <row r="154" spans="1:16" s="40" customFormat="1" x14ac:dyDescent="0.25">
      <c r="C154" s="40" t="s">
        <v>129</v>
      </c>
      <c r="H154" s="38">
        <f>SUM(H130:H153)</f>
        <v>6</v>
      </c>
      <c r="J154" s="78"/>
      <c r="K154" s="78"/>
      <c r="L154" s="78"/>
      <c r="M154" s="78"/>
      <c r="N154" s="78"/>
      <c r="O154" s="78"/>
      <c r="P154" s="78"/>
    </row>
    <row r="155" spans="1:16" s="40" customFormat="1" x14ac:dyDescent="0.25">
      <c r="J155" s="78"/>
      <c r="K155" s="78"/>
      <c r="L155" s="78"/>
      <c r="M155" s="78"/>
      <c r="N155" s="78"/>
      <c r="O155" s="78"/>
      <c r="P155" s="78"/>
    </row>
    <row r="156" spans="1:16" s="40" customFormat="1" x14ac:dyDescent="0.25">
      <c r="A156" s="40" t="s">
        <v>154</v>
      </c>
      <c r="B156" s="40">
        <v>1</v>
      </c>
      <c r="D156" s="40" t="s">
        <v>127</v>
      </c>
      <c r="E156" s="40" t="s">
        <v>45</v>
      </c>
      <c r="F156" s="40">
        <v>1</v>
      </c>
      <c r="G156" s="40" t="e">
        <f>#REF!</f>
        <v>#REF!</v>
      </c>
      <c r="H156" s="52" t="str">
        <f t="shared" ref="H156:H170" si="3">gradeGenericQuestion(D156,E156,F156,G156)</f>
        <v>2Exception</v>
      </c>
      <c r="J156" s="78"/>
      <c r="K156" s="78"/>
      <c r="L156" s="78"/>
      <c r="M156" s="78"/>
      <c r="N156" s="78"/>
      <c r="O156" s="78"/>
      <c r="P156" s="78"/>
    </row>
    <row r="157" spans="1:16" s="40" customFormat="1" x14ac:dyDescent="0.25">
      <c r="B157" s="40">
        <v>2</v>
      </c>
      <c r="D157" s="40" t="s">
        <v>127</v>
      </c>
      <c r="E157" s="40" t="s">
        <v>44</v>
      </c>
      <c r="F157" s="40">
        <v>1</v>
      </c>
      <c r="G157" s="40" t="e">
        <f>#REF!</f>
        <v>#REF!</v>
      </c>
      <c r="H157" s="52" t="str">
        <f t="shared" si="3"/>
        <v>2Exception</v>
      </c>
      <c r="J157" s="78"/>
      <c r="K157" s="78"/>
      <c r="L157" s="78"/>
      <c r="M157" s="78"/>
      <c r="N157" s="78"/>
      <c r="O157" s="78"/>
      <c r="P157" s="78"/>
    </row>
    <row r="158" spans="1:16" s="40" customFormat="1" x14ac:dyDescent="0.25">
      <c r="B158" s="40">
        <v>3</v>
      </c>
      <c r="D158" s="40" t="s">
        <v>127</v>
      </c>
      <c r="E158" s="40" t="s">
        <v>43</v>
      </c>
      <c r="F158" s="40">
        <v>1</v>
      </c>
      <c r="G158" s="40" t="e">
        <f>#REF!</f>
        <v>#REF!</v>
      </c>
      <c r="H158" s="52" t="str">
        <f t="shared" si="3"/>
        <v>2Exception</v>
      </c>
      <c r="J158" s="78"/>
      <c r="K158" s="78"/>
      <c r="L158" s="78"/>
      <c r="M158" s="78"/>
      <c r="N158" s="78"/>
      <c r="O158" s="78"/>
      <c r="P158" s="78"/>
    </row>
    <row r="159" spans="1:16" s="40" customFormat="1" x14ac:dyDescent="0.25">
      <c r="B159" s="40">
        <v>4</v>
      </c>
      <c r="D159" s="40" t="s">
        <v>127</v>
      </c>
      <c r="E159" s="40" t="s">
        <v>46</v>
      </c>
      <c r="F159" s="40">
        <v>1</v>
      </c>
      <c r="G159" s="40" t="e">
        <f>#REF!</f>
        <v>#REF!</v>
      </c>
      <c r="H159" s="52" t="str">
        <f t="shared" si="3"/>
        <v>2Exception</v>
      </c>
      <c r="J159" s="78"/>
      <c r="K159" s="78"/>
      <c r="L159" s="78"/>
      <c r="M159" s="78"/>
      <c r="N159" s="78"/>
      <c r="O159" s="78"/>
      <c r="P159" s="78"/>
    </row>
    <row r="160" spans="1:16" s="40" customFormat="1" x14ac:dyDescent="0.25">
      <c r="B160" s="40">
        <v>5</v>
      </c>
      <c r="D160" s="40" t="s">
        <v>127</v>
      </c>
      <c r="E160" s="40" t="s">
        <v>46</v>
      </c>
      <c r="F160" s="40">
        <v>1</v>
      </c>
      <c r="G160" s="40" t="e">
        <f>#REF!</f>
        <v>#REF!</v>
      </c>
      <c r="H160" s="52" t="str">
        <f t="shared" si="3"/>
        <v>2Exception</v>
      </c>
      <c r="J160" s="78"/>
      <c r="K160" s="78"/>
      <c r="L160" s="78"/>
      <c r="M160" s="78"/>
      <c r="N160" s="78"/>
      <c r="O160" s="78"/>
      <c r="P160" s="78"/>
    </row>
    <row r="161" spans="1:16" s="40" customFormat="1" x14ac:dyDescent="0.25">
      <c r="B161" s="40">
        <v>6</v>
      </c>
      <c r="D161" s="40" t="s">
        <v>127</v>
      </c>
      <c r="E161" s="40" t="s">
        <v>43</v>
      </c>
      <c r="F161" s="40">
        <v>1</v>
      </c>
      <c r="G161" s="40" t="e">
        <f>#REF!</f>
        <v>#REF!</v>
      </c>
      <c r="H161" s="52" t="str">
        <f t="shared" si="3"/>
        <v>2Exception</v>
      </c>
      <c r="J161" s="78"/>
      <c r="K161" s="78"/>
      <c r="L161" s="78"/>
      <c r="M161" s="78"/>
      <c r="N161" s="78"/>
      <c r="O161" s="78"/>
      <c r="P161" s="78"/>
    </row>
    <row r="162" spans="1:16" s="40" customFormat="1" x14ac:dyDescent="0.25">
      <c r="B162" s="40">
        <v>7</v>
      </c>
      <c r="D162" s="40" t="s">
        <v>127</v>
      </c>
      <c r="E162" s="40" t="s">
        <v>45</v>
      </c>
      <c r="F162" s="40">
        <v>1</v>
      </c>
      <c r="G162" s="40" t="e">
        <f>#REF!</f>
        <v>#REF!</v>
      </c>
      <c r="H162" s="52" t="str">
        <f t="shared" si="3"/>
        <v>2Exception</v>
      </c>
      <c r="J162" s="78"/>
      <c r="K162" s="78"/>
      <c r="L162" s="78"/>
      <c r="M162" s="78"/>
      <c r="N162" s="78"/>
      <c r="O162" s="78"/>
      <c r="P162" s="78"/>
    </row>
    <row r="163" spans="1:16" s="40" customFormat="1" x14ac:dyDescent="0.25">
      <c r="B163" s="40">
        <v>8</v>
      </c>
      <c r="D163" s="40" t="s">
        <v>127</v>
      </c>
      <c r="E163" s="40" t="s">
        <v>43</v>
      </c>
      <c r="F163" s="40">
        <v>1</v>
      </c>
      <c r="G163" s="40" t="e">
        <f>#REF!</f>
        <v>#REF!</v>
      </c>
      <c r="H163" s="52" t="str">
        <f t="shared" si="3"/>
        <v>2Exception</v>
      </c>
      <c r="J163" s="78"/>
      <c r="K163" s="78"/>
      <c r="L163" s="78"/>
      <c r="M163" s="78"/>
      <c r="N163" s="78"/>
      <c r="O163" s="78"/>
      <c r="P163" s="78"/>
    </row>
    <row r="164" spans="1:16" s="40" customFormat="1" x14ac:dyDescent="0.25">
      <c r="B164" s="40">
        <v>9</v>
      </c>
      <c r="D164" s="40" t="s">
        <v>127</v>
      </c>
      <c r="E164" s="40" t="s">
        <v>43</v>
      </c>
      <c r="F164" s="40">
        <v>1</v>
      </c>
      <c r="G164" s="40" t="e">
        <f>#REF!</f>
        <v>#REF!</v>
      </c>
      <c r="H164" s="52" t="str">
        <f t="shared" si="3"/>
        <v>2Exception</v>
      </c>
      <c r="J164" s="78"/>
      <c r="K164" s="78"/>
      <c r="L164" s="78"/>
      <c r="M164" s="78"/>
      <c r="N164" s="78"/>
      <c r="O164" s="78"/>
      <c r="P164" s="78"/>
    </row>
    <row r="165" spans="1:16" s="40" customFormat="1" x14ac:dyDescent="0.25">
      <c r="B165" s="40">
        <v>10</v>
      </c>
      <c r="D165" s="40" t="s">
        <v>127</v>
      </c>
      <c r="E165" s="40" t="s">
        <v>45</v>
      </c>
      <c r="F165" s="40">
        <v>1</v>
      </c>
      <c r="G165" s="40" t="e">
        <f>#REF!</f>
        <v>#REF!</v>
      </c>
      <c r="H165" s="52" t="str">
        <f t="shared" si="3"/>
        <v>2Exception</v>
      </c>
      <c r="J165" s="78"/>
      <c r="K165" s="78"/>
      <c r="L165" s="78"/>
      <c r="M165" s="78"/>
      <c r="N165" s="78"/>
      <c r="O165" s="78"/>
      <c r="P165" s="78"/>
    </row>
    <row r="166" spans="1:16" s="40" customFormat="1" x14ac:dyDescent="0.25">
      <c r="B166" s="40">
        <v>11</v>
      </c>
      <c r="D166" s="40" t="s">
        <v>127</v>
      </c>
      <c r="E166" s="40" t="s">
        <v>44</v>
      </c>
      <c r="F166" s="40">
        <v>1</v>
      </c>
      <c r="G166" s="40" t="e">
        <f>#REF!</f>
        <v>#REF!</v>
      </c>
      <c r="H166" s="52" t="str">
        <f t="shared" si="3"/>
        <v>2Exception</v>
      </c>
    </row>
    <row r="167" spans="1:16" s="40" customFormat="1" x14ac:dyDescent="0.25">
      <c r="B167" s="40">
        <v>12</v>
      </c>
      <c r="D167" s="40" t="s">
        <v>127</v>
      </c>
      <c r="E167" s="40" t="s">
        <v>46</v>
      </c>
      <c r="F167" s="40">
        <v>1</v>
      </c>
      <c r="G167" s="40" t="e">
        <f>#REF!</f>
        <v>#REF!</v>
      </c>
      <c r="H167" s="52" t="str">
        <f t="shared" si="3"/>
        <v>2Exception</v>
      </c>
    </row>
    <row r="168" spans="1:16" s="40" customFormat="1" x14ac:dyDescent="0.25">
      <c r="B168" s="40">
        <v>13</v>
      </c>
      <c r="D168" s="40" t="s">
        <v>127</v>
      </c>
      <c r="E168" s="40" t="s">
        <v>44</v>
      </c>
      <c r="F168" s="40">
        <v>1</v>
      </c>
      <c r="G168" s="40" t="e">
        <f>#REF!</f>
        <v>#REF!</v>
      </c>
      <c r="H168" s="52" t="str">
        <f t="shared" si="3"/>
        <v>2Exception</v>
      </c>
    </row>
    <row r="169" spans="1:16" s="40" customFormat="1" x14ac:dyDescent="0.25">
      <c r="B169" s="40">
        <v>14</v>
      </c>
      <c r="D169" s="40" t="s">
        <v>127</v>
      </c>
      <c r="E169" s="40" t="s">
        <v>72</v>
      </c>
      <c r="F169" s="40">
        <v>1</v>
      </c>
      <c r="G169" s="40" t="e">
        <f>#REF!</f>
        <v>#REF!</v>
      </c>
      <c r="H169" s="52" t="str">
        <f t="shared" si="3"/>
        <v>2Exception</v>
      </c>
    </row>
    <row r="170" spans="1:16" s="40" customFormat="1" x14ac:dyDescent="0.25">
      <c r="B170" s="40">
        <v>15</v>
      </c>
      <c r="D170" s="40" t="s">
        <v>127</v>
      </c>
      <c r="E170" s="40" t="s">
        <v>72</v>
      </c>
      <c r="F170" s="40">
        <v>1</v>
      </c>
      <c r="G170" s="40" t="e">
        <f>#REF!</f>
        <v>#REF!</v>
      </c>
      <c r="H170" s="52" t="str">
        <f t="shared" si="3"/>
        <v>2Exception</v>
      </c>
    </row>
    <row r="171" spans="1:16" s="40" customFormat="1" x14ac:dyDescent="0.25">
      <c r="C171" s="40" t="s">
        <v>129</v>
      </c>
      <c r="H171" s="38">
        <f>SUM(H156:H170)</f>
        <v>0</v>
      </c>
    </row>
    <row r="172" spans="1:16" x14ac:dyDescent="0.25">
      <c r="A172" s="40"/>
      <c r="B172" s="40"/>
      <c r="C172" s="40"/>
      <c r="D172" s="40"/>
      <c r="E172" s="40"/>
      <c r="F172" s="40"/>
      <c r="G172" s="40"/>
      <c r="H172" s="40"/>
      <c r="I172" s="40"/>
    </row>
  </sheetData>
  <sheetProtection algorithmName="SHA-512" hashValue="MPZbohz/RWrnZVEAkNECowAdIUKA9M99xAGDb351N7kOEdhCv9/wbEIXjH7CMjAMc4VZtxj1ZmhjhL9bRHWbUA==" saltValue="yvaGFM3jAgTWNk71AVUyHw==" spinCount="100000" sheet="1" objects="1" scenarios="1"/>
  <mergeCells count="4">
    <mergeCell ref="H10:J10"/>
    <mergeCell ref="G33:M33"/>
    <mergeCell ref="G34:M34"/>
    <mergeCell ref="F35:M36"/>
  </mergeCells>
  <pageMargins left="0.7" right="0.7" top="0.75" bottom="0.75" header="0.3" footer="0.3"/>
  <pageSetup scale="54" orientation="landscape" r:id="rId1"/>
  <ignoredErrors>
    <ignoredError sqref="H43" formulaRang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107</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108</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3412-5FD3-4953-B5CA-5425F5D9980B}">
  <sheetPr codeName="Sheet2"/>
  <dimension ref="A1:O40"/>
  <sheetViews>
    <sheetView workbookViewId="0">
      <selection activeCell="A2" sqref="A2:O2"/>
    </sheetView>
  </sheetViews>
  <sheetFormatPr defaultRowHeight="15" x14ac:dyDescent="0.25"/>
  <cols>
    <col min="1" max="1" width="21.7109375" customWidth="1"/>
    <col min="3" max="3" width="10.28515625" bestFit="1" customWidth="1"/>
    <col min="9" max="9" width="28.7109375" customWidth="1"/>
  </cols>
  <sheetData>
    <row r="1" spans="1:15" ht="64.150000000000006" customHeight="1" x14ac:dyDescent="0.25">
      <c r="A1" s="88" t="s">
        <v>160</v>
      </c>
      <c r="D1" t="s">
        <v>166</v>
      </c>
      <c r="H1" t="s">
        <v>175</v>
      </c>
      <c r="I1" s="121"/>
      <c r="K1" s="94"/>
    </row>
    <row r="2" spans="1:15" ht="48.6" customHeight="1" x14ac:dyDescent="0.25">
      <c r="A2" s="149" t="s">
        <v>372</v>
      </c>
      <c r="B2" s="150"/>
      <c r="C2" s="150"/>
      <c r="D2" s="150"/>
      <c r="E2" s="150"/>
      <c r="F2" s="150"/>
      <c r="G2" s="150"/>
      <c r="H2" s="150"/>
      <c r="I2" s="150"/>
      <c r="J2" s="150"/>
      <c r="K2" s="150"/>
      <c r="L2" s="150"/>
      <c r="M2" s="150"/>
      <c r="N2" s="150"/>
      <c r="O2" s="150"/>
    </row>
    <row r="3" spans="1:15" ht="38.450000000000003" customHeight="1" x14ac:dyDescent="0.25">
      <c r="A3" t="s">
        <v>164</v>
      </c>
    </row>
    <row r="4" spans="1:15" x14ac:dyDescent="0.25">
      <c r="N4" s="134" t="s">
        <v>384</v>
      </c>
    </row>
    <row r="5" spans="1:15" x14ac:dyDescent="0.25">
      <c r="A5" s="86" t="s">
        <v>178</v>
      </c>
      <c r="B5" s="86" t="s">
        <v>393</v>
      </c>
      <c r="C5" s="86" t="s">
        <v>268</v>
      </c>
      <c r="D5" s="86" t="s">
        <v>269</v>
      </c>
      <c r="N5" s="134" t="s">
        <v>385</v>
      </c>
    </row>
    <row r="6" spans="1:15" x14ac:dyDescent="0.25">
      <c r="A6" s="86" t="s">
        <v>270</v>
      </c>
      <c r="B6" s="86" t="s">
        <v>271</v>
      </c>
      <c r="C6" s="122">
        <v>911890</v>
      </c>
      <c r="D6" s="86">
        <v>1031</v>
      </c>
      <c r="N6" s="134" t="s">
        <v>386</v>
      </c>
    </row>
    <row r="7" spans="1:15" x14ac:dyDescent="0.25">
      <c r="A7" s="86" t="s">
        <v>272</v>
      </c>
      <c r="B7" s="86" t="s">
        <v>273</v>
      </c>
      <c r="C7" s="122">
        <v>469468</v>
      </c>
      <c r="D7" s="86">
        <v>1154</v>
      </c>
      <c r="N7" s="134" t="s">
        <v>387</v>
      </c>
    </row>
    <row r="8" spans="1:15" x14ac:dyDescent="0.25">
      <c r="A8" t="s">
        <v>274</v>
      </c>
      <c r="B8" t="s">
        <v>275</v>
      </c>
      <c r="C8" s="92">
        <v>236002</v>
      </c>
      <c r="D8">
        <v>736</v>
      </c>
      <c r="N8" s="134" t="s">
        <v>388</v>
      </c>
    </row>
    <row r="9" spans="1:15" x14ac:dyDescent="0.25">
      <c r="A9" t="s">
        <v>199</v>
      </c>
      <c r="B9" t="s">
        <v>276</v>
      </c>
      <c r="C9" s="92">
        <v>236002</v>
      </c>
      <c r="D9">
        <v>1374</v>
      </c>
      <c r="N9" s="134" t="s">
        <v>389</v>
      </c>
    </row>
    <row r="10" spans="1:15" x14ac:dyDescent="0.25">
      <c r="A10" t="s">
        <v>277</v>
      </c>
      <c r="B10" t="s">
        <v>278</v>
      </c>
      <c r="C10" s="92">
        <v>234734</v>
      </c>
      <c r="D10">
        <v>585</v>
      </c>
      <c r="N10" s="134" t="s">
        <v>390</v>
      </c>
    </row>
    <row r="11" spans="1:15" x14ac:dyDescent="0.25">
      <c r="A11" t="s">
        <v>279</v>
      </c>
      <c r="B11" t="s">
        <v>280</v>
      </c>
      <c r="C11" s="92">
        <v>118001</v>
      </c>
      <c r="D11">
        <v>692</v>
      </c>
    </row>
    <row r="12" spans="1:15" x14ac:dyDescent="0.25">
      <c r="A12" t="s">
        <v>281</v>
      </c>
      <c r="B12" t="s">
        <v>282</v>
      </c>
      <c r="C12" s="92">
        <v>118001</v>
      </c>
      <c r="D12">
        <v>264</v>
      </c>
    </row>
    <row r="13" spans="1:15" x14ac:dyDescent="0.25">
      <c r="A13" t="s">
        <v>283</v>
      </c>
      <c r="B13" t="s">
        <v>284</v>
      </c>
      <c r="C13" s="92">
        <v>117367</v>
      </c>
      <c r="D13">
        <v>342</v>
      </c>
    </row>
    <row r="14" spans="1:15" x14ac:dyDescent="0.25">
      <c r="A14" t="s">
        <v>285</v>
      </c>
      <c r="B14" t="s">
        <v>286</v>
      </c>
      <c r="C14" s="92">
        <v>117367</v>
      </c>
      <c r="D14">
        <v>247</v>
      </c>
    </row>
    <row r="15" spans="1:15" x14ac:dyDescent="0.25">
      <c r="A15" t="s">
        <v>287</v>
      </c>
      <c r="B15" t="s">
        <v>288</v>
      </c>
      <c r="C15" s="92">
        <v>117367</v>
      </c>
      <c r="D15">
        <v>348</v>
      </c>
    </row>
    <row r="16" spans="1:15" x14ac:dyDescent="0.25">
      <c r="A16" t="s">
        <v>289</v>
      </c>
      <c r="B16" t="s">
        <v>290</v>
      </c>
      <c r="C16" s="92">
        <v>117367</v>
      </c>
      <c r="D16">
        <v>571</v>
      </c>
    </row>
    <row r="17" spans="1:4" x14ac:dyDescent="0.25">
      <c r="A17" t="s">
        <v>291</v>
      </c>
      <c r="B17" t="s">
        <v>292</v>
      </c>
      <c r="C17" s="92">
        <v>94218</v>
      </c>
      <c r="D17">
        <v>422</v>
      </c>
    </row>
    <row r="18" spans="1:4" x14ac:dyDescent="0.25">
      <c r="A18" t="s">
        <v>293</v>
      </c>
      <c r="B18" t="s">
        <v>294</v>
      </c>
      <c r="C18" s="92">
        <v>62231</v>
      </c>
      <c r="D18">
        <v>225</v>
      </c>
    </row>
    <row r="19" spans="1:4" x14ac:dyDescent="0.25">
      <c r="C19" s="92"/>
    </row>
    <row r="20" spans="1:4" x14ac:dyDescent="0.25">
      <c r="C20" s="92"/>
    </row>
    <row r="21" spans="1:4" x14ac:dyDescent="0.25">
      <c r="C21" s="92"/>
    </row>
    <row r="22" spans="1:4" x14ac:dyDescent="0.25">
      <c r="C22" s="92"/>
    </row>
    <row r="23" spans="1:4" x14ac:dyDescent="0.25">
      <c r="C23" s="92"/>
    </row>
    <row r="24" spans="1:4" x14ac:dyDescent="0.25">
      <c r="C24" s="92"/>
    </row>
    <row r="25" spans="1:4" x14ac:dyDescent="0.25">
      <c r="C25" s="92"/>
    </row>
    <row r="26" spans="1:4" x14ac:dyDescent="0.25">
      <c r="C26" s="92"/>
    </row>
    <row r="27" spans="1:4" x14ac:dyDescent="0.25">
      <c r="C27" s="92"/>
    </row>
    <row r="28" spans="1:4" x14ac:dyDescent="0.25">
      <c r="C28" s="92"/>
    </row>
    <row r="29" spans="1:4" x14ac:dyDescent="0.25">
      <c r="C29" s="92"/>
    </row>
    <row r="30" spans="1:4" x14ac:dyDescent="0.25">
      <c r="C30" s="92"/>
    </row>
    <row r="31" spans="1:4" x14ac:dyDescent="0.25">
      <c r="C31" s="92"/>
    </row>
    <row r="32" spans="1:4" x14ac:dyDescent="0.25">
      <c r="C32" s="92"/>
    </row>
    <row r="33" spans="3:3" x14ac:dyDescent="0.25">
      <c r="C33" s="92"/>
    </row>
    <row r="34" spans="3:3" x14ac:dyDescent="0.25">
      <c r="C34" s="92"/>
    </row>
    <row r="35" spans="3:3" x14ac:dyDescent="0.25">
      <c r="C35" s="92"/>
    </row>
    <row r="36" spans="3:3" x14ac:dyDescent="0.25">
      <c r="C36" s="92"/>
    </row>
    <row r="37" spans="3:3" x14ac:dyDescent="0.25">
      <c r="C37" s="92"/>
    </row>
    <row r="38" spans="3:3" x14ac:dyDescent="0.25">
      <c r="C38" s="92"/>
    </row>
    <row r="39" spans="3:3" x14ac:dyDescent="0.25">
      <c r="C39" s="92"/>
    </row>
    <row r="40" spans="3:3" x14ac:dyDescent="0.25">
      <c r="C40" s="92"/>
    </row>
  </sheetData>
  <sheetProtection algorithmName="SHA-512" hashValue="m4IcjlQy5JHK2nKtgDsQByZlpzOc6IbZJ+xw769IQ0k7XZOVFXoTlDJcNqOjNuSfIxaCXKLn54S0QS7i505Y9Q==" saltValue="qlMD3qeIzVC1xBuzu6rgNw==" spinCount="100000" sheet="1" objects="1" scenarios="1"/>
  <mergeCells count="1">
    <mergeCell ref="A2:O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730F3-1400-4741-9CC2-F7D5D8690E73}">
  <sheetPr codeName="Sheet4"/>
  <dimension ref="A1:F36"/>
  <sheetViews>
    <sheetView workbookViewId="0">
      <selection activeCell="A3" sqref="A3"/>
    </sheetView>
  </sheetViews>
  <sheetFormatPr defaultRowHeight="15" x14ac:dyDescent="0.25"/>
  <cols>
    <col min="1" max="1" width="40.5703125" customWidth="1"/>
    <col min="2" max="2" width="21.5703125" customWidth="1"/>
    <col min="3" max="3" width="10.28515625" bestFit="1" customWidth="1"/>
  </cols>
  <sheetData>
    <row r="1" spans="1:6" x14ac:dyDescent="0.25">
      <c r="A1" s="92"/>
      <c r="B1">
        <v>10</v>
      </c>
    </row>
    <row r="2" spans="1:6" x14ac:dyDescent="0.25">
      <c r="A2" s="92" cm="1">
        <f t="array" ref="A2">gradeGenericQuestionRange("Text",  Answer2!A4:B20,Answer2!C1,Question2!A5:B21)</f>
        <v>8.2352914810180664</v>
      </c>
      <c r="F2" s="90" t="s">
        <v>295</v>
      </c>
    </row>
    <row r="3" spans="1:6" x14ac:dyDescent="0.25">
      <c r="F3" s="90" t="s">
        <v>296</v>
      </c>
    </row>
    <row r="4" spans="1:6" ht="18.75" x14ac:dyDescent="0.3">
      <c r="A4" s="123" t="s">
        <v>173</v>
      </c>
      <c r="B4" s="128" t="s">
        <v>267</v>
      </c>
      <c r="C4" s="86" t="s">
        <v>268</v>
      </c>
      <c r="D4" t="s">
        <v>269</v>
      </c>
      <c r="F4" s="90" t="s">
        <v>297</v>
      </c>
    </row>
    <row r="5" spans="1:6" ht="18.75" x14ac:dyDescent="0.3">
      <c r="A5" s="123" t="s">
        <v>270</v>
      </c>
      <c r="B5" s="128" t="s">
        <v>271</v>
      </c>
      <c r="C5" s="122">
        <v>911890</v>
      </c>
      <c r="D5">
        <v>1031</v>
      </c>
      <c r="F5" s="94" t="s">
        <v>298</v>
      </c>
    </row>
    <row r="6" spans="1:6" ht="18.75" x14ac:dyDescent="0.3">
      <c r="A6" s="123" t="s">
        <v>272</v>
      </c>
      <c r="B6" s="127" t="s">
        <v>273</v>
      </c>
      <c r="C6" s="92">
        <v>469468</v>
      </c>
      <c r="D6">
        <v>1154</v>
      </c>
      <c r="F6" s="90" t="s">
        <v>299</v>
      </c>
    </row>
    <row r="7" spans="1:6" ht="18.75" x14ac:dyDescent="0.3">
      <c r="A7" s="124" t="s">
        <v>274</v>
      </c>
      <c r="B7" s="127" t="s">
        <v>275</v>
      </c>
      <c r="C7" s="92">
        <v>236002</v>
      </c>
      <c r="D7">
        <v>736</v>
      </c>
      <c r="F7" s="90" t="s">
        <v>300</v>
      </c>
    </row>
    <row r="8" spans="1:6" ht="18.75" x14ac:dyDescent="0.3">
      <c r="A8" s="123" t="s">
        <v>199</v>
      </c>
      <c r="B8" s="127" t="s">
        <v>276</v>
      </c>
      <c r="C8" s="92">
        <v>236002</v>
      </c>
      <c r="D8">
        <v>1374</v>
      </c>
      <c r="F8" s="90" t="s">
        <v>301</v>
      </c>
    </row>
    <row r="9" spans="1:6" ht="18.75" x14ac:dyDescent="0.3">
      <c r="A9" s="123" t="s">
        <v>277</v>
      </c>
      <c r="B9" s="127" t="s">
        <v>278</v>
      </c>
      <c r="C9" s="92">
        <v>234734</v>
      </c>
      <c r="D9">
        <v>585</v>
      </c>
      <c r="F9" s="90"/>
    </row>
    <row r="10" spans="1:6" ht="18.75" x14ac:dyDescent="0.3">
      <c r="A10" s="123" t="s">
        <v>279</v>
      </c>
      <c r="B10" s="127" t="s">
        <v>280</v>
      </c>
      <c r="C10" s="92">
        <v>118001</v>
      </c>
      <c r="D10">
        <v>692</v>
      </c>
      <c r="F10" s="90"/>
    </row>
    <row r="11" spans="1:6" ht="18.75" x14ac:dyDescent="0.3">
      <c r="A11" s="124" t="s">
        <v>281</v>
      </c>
      <c r="B11" s="127" t="s">
        <v>282</v>
      </c>
      <c r="C11" s="92">
        <v>118001</v>
      </c>
      <c r="D11">
        <v>264</v>
      </c>
      <c r="F11" s="90"/>
    </row>
    <row r="12" spans="1:6" ht="18.75" x14ac:dyDescent="0.3">
      <c r="A12" s="123" t="s">
        <v>283</v>
      </c>
      <c r="B12" s="127" t="s">
        <v>284</v>
      </c>
      <c r="C12" s="92">
        <v>117367</v>
      </c>
      <c r="D12">
        <v>342</v>
      </c>
      <c r="F12" s="90"/>
    </row>
    <row r="13" spans="1:6" ht="18.75" x14ac:dyDescent="0.3">
      <c r="A13" s="124" t="s">
        <v>285</v>
      </c>
      <c r="B13" s="127" t="s">
        <v>286</v>
      </c>
      <c r="C13" s="92">
        <v>117367</v>
      </c>
      <c r="D13">
        <v>247</v>
      </c>
      <c r="F13" s="90"/>
    </row>
    <row r="14" spans="1:6" ht="18.75" x14ac:dyDescent="0.3">
      <c r="A14" s="123" t="s">
        <v>287</v>
      </c>
      <c r="B14" s="127" t="s">
        <v>288</v>
      </c>
      <c r="C14" s="92">
        <v>117367</v>
      </c>
      <c r="D14">
        <v>348</v>
      </c>
    </row>
    <row r="15" spans="1:6" ht="18.75" x14ac:dyDescent="0.3">
      <c r="A15" s="123" t="s">
        <v>289</v>
      </c>
      <c r="B15" s="127" t="s">
        <v>290</v>
      </c>
      <c r="C15" s="92">
        <v>117367</v>
      </c>
      <c r="D15">
        <v>571</v>
      </c>
    </row>
    <row r="16" spans="1:6" ht="18.75" x14ac:dyDescent="0.3">
      <c r="A16" s="127" t="s">
        <v>291</v>
      </c>
      <c r="B16" s="127" t="s">
        <v>292</v>
      </c>
      <c r="C16" s="92">
        <v>94218</v>
      </c>
      <c r="D16">
        <v>422</v>
      </c>
    </row>
    <row r="17" spans="1:4" ht="18.75" x14ac:dyDescent="0.3">
      <c r="A17" s="127" t="s">
        <v>293</v>
      </c>
      <c r="B17" s="127" t="s">
        <v>294</v>
      </c>
      <c r="C17" s="92">
        <v>62231</v>
      </c>
      <c r="D17">
        <v>225</v>
      </c>
    </row>
    <row r="18" spans="1:4" ht="18.75" x14ac:dyDescent="0.3">
      <c r="A18" s="127"/>
      <c r="B18" s="127"/>
      <c r="C18" s="92"/>
    </row>
    <row r="19" spans="1:4" ht="18.75" x14ac:dyDescent="0.3">
      <c r="A19" s="127"/>
      <c r="B19" s="127"/>
      <c r="C19" s="92"/>
    </row>
    <row r="20" spans="1:4" ht="18.75" x14ac:dyDescent="0.3">
      <c r="A20" s="127"/>
      <c r="B20" s="127"/>
      <c r="C20" s="92"/>
    </row>
    <row r="21" spans="1:4" ht="18.75" x14ac:dyDescent="0.3">
      <c r="A21" s="127"/>
      <c r="B21" s="127"/>
      <c r="C21" s="92"/>
    </row>
    <row r="22" spans="1:4" ht="18.75" x14ac:dyDescent="0.3">
      <c r="A22" s="127"/>
      <c r="B22" s="127"/>
      <c r="C22" s="92"/>
    </row>
    <row r="23" spans="1:4" x14ac:dyDescent="0.25">
      <c r="C23" s="92"/>
    </row>
    <row r="24" spans="1:4" x14ac:dyDescent="0.25">
      <c r="C24" s="92"/>
    </row>
    <row r="25" spans="1:4" x14ac:dyDescent="0.25">
      <c r="C25" s="92"/>
    </row>
    <row r="26" spans="1:4" x14ac:dyDescent="0.25">
      <c r="C26" s="92"/>
    </row>
    <row r="27" spans="1:4" x14ac:dyDescent="0.25">
      <c r="C27" s="92"/>
    </row>
    <row r="28" spans="1:4" x14ac:dyDescent="0.25">
      <c r="C28" s="92"/>
    </row>
    <row r="29" spans="1:4" x14ac:dyDescent="0.25">
      <c r="C29" s="92"/>
    </row>
    <row r="30" spans="1:4" x14ac:dyDescent="0.25">
      <c r="C30" s="92"/>
    </row>
    <row r="31" spans="1:4" x14ac:dyDescent="0.25">
      <c r="C31" s="92"/>
    </row>
    <row r="32" spans="1:4" x14ac:dyDescent="0.25">
      <c r="C32" s="92"/>
    </row>
    <row r="33" spans="3:3" x14ac:dyDescent="0.25">
      <c r="C33" s="92"/>
    </row>
    <row r="34" spans="3:3" x14ac:dyDescent="0.25">
      <c r="C34" s="92"/>
    </row>
    <row r="35" spans="3:3" x14ac:dyDescent="0.25">
      <c r="C35" s="92"/>
    </row>
    <row r="36" spans="3:3" x14ac:dyDescent="0.25">
      <c r="C36" s="92"/>
    </row>
  </sheetData>
  <sheetProtection algorithmName="SHA-512" hashValue="Abl1gAWLnCZXmN8aQwga/nrPpWN3yUQLxfH2xpuiOLBh3vgAtXqoeLNt2q+vV+4Q5LnNKyGU3s6J8HMjR5u3SQ==" saltValue="rJiUGVZHfbZs7jQsXSTghg==" spinCount="100000"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9623-3574-4FC4-99F5-8977F1767E7D}">
  <sheetPr codeName="Sheet5"/>
  <dimension ref="A1:O24"/>
  <sheetViews>
    <sheetView workbookViewId="0">
      <selection activeCell="F14" sqref="F14"/>
    </sheetView>
  </sheetViews>
  <sheetFormatPr defaultRowHeight="15" x14ac:dyDescent="0.25"/>
  <cols>
    <col min="1" max="1" width="24.7109375" customWidth="1"/>
    <col min="2" max="2" width="20.85546875" customWidth="1"/>
    <col min="3" max="3" width="10.28515625" bestFit="1" customWidth="1"/>
    <col min="9" max="9" width="34" customWidth="1"/>
  </cols>
  <sheetData>
    <row r="1" spans="1:15" ht="37.15" customHeight="1" x14ac:dyDescent="0.25">
      <c r="A1" s="88" t="s">
        <v>159</v>
      </c>
      <c r="D1" t="s">
        <v>166</v>
      </c>
      <c r="H1" t="s">
        <v>172</v>
      </c>
      <c r="I1" s="121" t="s">
        <v>200</v>
      </c>
      <c r="L1" s="94"/>
      <c r="O1" s="94" t="s">
        <v>176</v>
      </c>
    </row>
    <row r="2" spans="1:15" ht="54.6" customHeight="1" x14ac:dyDescent="0.25">
      <c r="A2" s="149" t="s">
        <v>373</v>
      </c>
      <c r="B2" s="149"/>
      <c r="C2" s="149"/>
      <c r="D2" s="149"/>
      <c r="E2" s="149"/>
      <c r="F2" s="149"/>
      <c r="G2" s="149"/>
      <c r="H2" s="149"/>
      <c r="I2" s="149"/>
      <c r="J2" s="149"/>
      <c r="K2" s="149"/>
    </row>
    <row r="3" spans="1:15" x14ac:dyDescent="0.25">
      <c r="A3" t="s">
        <v>162</v>
      </c>
      <c r="I3" t="s">
        <v>170</v>
      </c>
      <c r="N3" s="134" t="s">
        <v>395</v>
      </c>
    </row>
    <row r="4" spans="1:15" x14ac:dyDescent="0.25">
      <c r="N4" s="134" t="s">
        <v>396</v>
      </c>
    </row>
    <row r="5" spans="1:15" x14ac:dyDescent="0.25">
      <c r="A5" s="86" t="s">
        <v>178</v>
      </c>
      <c r="B5" s="86" t="s">
        <v>245</v>
      </c>
      <c r="C5" s="86"/>
      <c r="N5" s="134" t="s">
        <v>397</v>
      </c>
    </row>
    <row r="6" spans="1:15" x14ac:dyDescent="0.25">
      <c r="A6" s="86" t="s">
        <v>257</v>
      </c>
      <c r="B6" s="122">
        <v>5</v>
      </c>
      <c r="C6" s="104"/>
      <c r="D6" s="105"/>
      <c r="N6" s="134" t="s">
        <v>398</v>
      </c>
    </row>
    <row r="7" spans="1:15" x14ac:dyDescent="0.25">
      <c r="A7" t="s">
        <v>246</v>
      </c>
      <c r="B7" s="92">
        <v>7</v>
      </c>
      <c r="C7" s="93"/>
      <c r="D7" s="105"/>
      <c r="N7" s="134" t="s">
        <v>399</v>
      </c>
    </row>
    <row r="8" spans="1:15" x14ac:dyDescent="0.25">
      <c r="A8" t="s">
        <v>261</v>
      </c>
      <c r="B8" s="92">
        <v>2</v>
      </c>
      <c r="C8" s="93"/>
      <c r="D8" s="105"/>
      <c r="N8" s="134" t="s">
        <v>400</v>
      </c>
    </row>
    <row r="9" spans="1:15" x14ac:dyDescent="0.25">
      <c r="A9" t="s">
        <v>259</v>
      </c>
      <c r="B9" s="92">
        <v>7</v>
      </c>
      <c r="C9" s="93"/>
      <c r="D9" s="105"/>
      <c r="N9" s="134" t="s">
        <v>401</v>
      </c>
    </row>
    <row r="10" spans="1:15" x14ac:dyDescent="0.25">
      <c r="A10" t="s">
        <v>255</v>
      </c>
      <c r="B10" s="92">
        <v>11</v>
      </c>
      <c r="C10" s="93"/>
      <c r="D10" s="105"/>
      <c r="N10" s="134" t="s">
        <v>402</v>
      </c>
    </row>
    <row r="11" spans="1:15" x14ac:dyDescent="0.25">
      <c r="A11" t="s">
        <v>254</v>
      </c>
      <c r="B11" s="92">
        <v>6</v>
      </c>
      <c r="C11" s="93"/>
      <c r="D11" s="105"/>
    </row>
    <row r="12" spans="1:15" x14ac:dyDescent="0.25">
      <c r="A12" t="s">
        <v>256</v>
      </c>
      <c r="B12" s="92">
        <v>10</v>
      </c>
      <c r="C12" s="93"/>
      <c r="D12" s="102"/>
    </row>
    <row r="13" spans="1:15" x14ac:dyDescent="0.25">
      <c r="A13" t="s">
        <v>249</v>
      </c>
      <c r="B13" s="92">
        <v>10</v>
      </c>
      <c r="C13" s="93"/>
      <c r="D13" s="102"/>
    </row>
    <row r="14" spans="1:15" x14ac:dyDescent="0.25">
      <c r="A14" t="s">
        <v>252</v>
      </c>
      <c r="B14" s="92">
        <v>180</v>
      </c>
      <c r="C14" s="93"/>
      <c r="D14" s="102"/>
    </row>
    <row r="15" spans="1:15" x14ac:dyDescent="0.25">
      <c r="A15" t="s">
        <v>253</v>
      </c>
      <c r="B15" s="92">
        <v>6</v>
      </c>
      <c r="C15" s="93"/>
      <c r="D15" s="102"/>
    </row>
    <row r="16" spans="1:15" x14ac:dyDescent="0.25">
      <c r="A16" t="s">
        <v>250</v>
      </c>
      <c r="B16" s="92">
        <v>13</v>
      </c>
      <c r="C16" s="93"/>
      <c r="D16" s="102"/>
    </row>
    <row r="17" spans="1:4" x14ac:dyDescent="0.25">
      <c r="A17" t="s">
        <v>258</v>
      </c>
      <c r="B17" s="92">
        <v>7</v>
      </c>
      <c r="C17" s="93"/>
      <c r="D17" s="102"/>
    </row>
    <row r="18" spans="1:4" x14ac:dyDescent="0.25">
      <c r="A18" t="s">
        <v>251</v>
      </c>
      <c r="B18" s="92">
        <v>4</v>
      </c>
      <c r="D18" s="102"/>
    </row>
    <row r="19" spans="1:4" x14ac:dyDescent="0.25">
      <c r="A19" t="s">
        <v>248</v>
      </c>
      <c r="B19" s="92">
        <v>18</v>
      </c>
      <c r="D19" s="102"/>
    </row>
    <row r="20" spans="1:4" x14ac:dyDescent="0.25">
      <c r="A20" t="s">
        <v>260</v>
      </c>
      <c r="B20" s="92">
        <v>6</v>
      </c>
      <c r="D20" s="102"/>
    </row>
    <row r="21" spans="1:4" x14ac:dyDescent="0.25">
      <c r="A21" t="s">
        <v>247</v>
      </c>
      <c r="B21" s="92">
        <v>4</v>
      </c>
      <c r="D21" s="102"/>
    </row>
    <row r="22" spans="1:4" x14ac:dyDescent="0.25">
      <c r="B22" s="92"/>
    </row>
    <row r="23" spans="1:4" x14ac:dyDescent="0.25">
      <c r="B23" s="92"/>
    </row>
    <row r="24" spans="1:4" x14ac:dyDescent="0.25">
      <c r="B24" s="92"/>
    </row>
  </sheetData>
  <sheetProtection algorithmName="SHA-512" hashValue="Fape27ajhHR77iJqgcStTlzxQGU+2qmTFQlsNSyl+bJJdPN8Jm6m0YwIdHiov5fsvPzc/EIhaEdpA1q93ZXtMA==" saltValue="KtEzZ2B7rEQ799mL0yvKlg==" spinCount="100000" sheet="1" objects="1" scenarios="1"/>
  <mergeCells count="1">
    <mergeCell ref="A2:K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6DB5-984A-4528-96AA-9845DC576509}">
  <sheetPr codeName="Sheet6"/>
  <dimension ref="A1:I20"/>
  <sheetViews>
    <sheetView workbookViewId="0">
      <selection activeCell="A2" sqref="A2"/>
    </sheetView>
  </sheetViews>
  <sheetFormatPr defaultRowHeight="15" x14ac:dyDescent="0.25"/>
  <cols>
    <col min="1" max="1" width="42.28515625" customWidth="1"/>
    <col min="2" max="3" width="10.28515625" bestFit="1" customWidth="1"/>
  </cols>
  <sheetData>
    <row r="1" spans="1:9" x14ac:dyDescent="0.25">
      <c r="A1" s="91"/>
      <c r="C1">
        <v>10</v>
      </c>
    </row>
    <row r="2" spans="1:9" x14ac:dyDescent="0.25">
      <c r="A2" cm="1">
        <f t="array" ref="A2">gradeGenericQuestionRange("Text",  A4:B20,C1,Question2!A5:B21)</f>
        <v>8.2352914810180664</v>
      </c>
      <c r="C2" s="90"/>
      <c r="I2" s="90"/>
    </row>
    <row r="3" spans="1:9" x14ac:dyDescent="0.25">
      <c r="C3" s="90"/>
      <c r="G3" s="90" t="s">
        <v>239</v>
      </c>
      <c r="I3" s="90"/>
    </row>
    <row r="4" spans="1:9" x14ac:dyDescent="0.25">
      <c r="A4" s="86" t="s">
        <v>173</v>
      </c>
      <c r="B4" s="86" t="s">
        <v>245</v>
      </c>
      <c r="C4" s="125"/>
      <c r="G4" s="90" t="s">
        <v>240</v>
      </c>
      <c r="I4" s="94"/>
    </row>
    <row r="5" spans="1:9" x14ac:dyDescent="0.25">
      <c r="A5" s="86" t="s">
        <v>257</v>
      </c>
      <c r="B5" s="122">
        <v>5</v>
      </c>
      <c r="C5" s="93"/>
      <c r="G5" s="90" t="s">
        <v>241</v>
      </c>
      <c r="I5" s="90"/>
    </row>
    <row r="6" spans="1:9" x14ac:dyDescent="0.25">
      <c r="A6" t="s">
        <v>246</v>
      </c>
      <c r="B6" s="92">
        <v>6</v>
      </c>
      <c r="C6" s="93"/>
      <c r="G6" s="94" t="s">
        <v>242</v>
      </c>
      <c r="I6" s="90"/>
    </row>
    <row r="7" spans="1:9" x14ac:dyDescent="0.25">
      <c r="A7" t="s">
        <v>261</v>
      </c>
      <c r="B7" s="92">
        <v>2</v>
      </c>
      <c r="C7" s="93"/>
      <c r="G7" s="90" t="s">
        <v>243</v>
      </c>
      <c r="I7" s="90"/>
    </row>
    <row r="8" spans="1:9" x14ac:dyDescent="0.25">
      <c r="A8" t="s">
        <v>259</v>
      </c>
      <c r="B8" s="92">
        <v>7</v>
      </c>
      <c r="C8" s="93"/>
      <c r="G8" s="90" t="s">
        <v>244</v>
      </c>
      <c r="I8" s="94"/>
    </row>
    <row r="9" spans="1:9" x14ac:dyDescent="0.25">
      <c r="A9" t="s">
        <v>255</v>
      </c>
      <c r="B9" s="92">
        <v>10</v>
      </c>
      <c r="C9" s="93"/>
      <c r="G9" s="90" t="s">
        <v>376</v>
      </c>
      <c r="I9" s="90"/>
    </row>
    <row r="10" spans="1:9" x14ac:dyDescent="0.25">
      <c r="A10" t="s">
        <v>254</v>
      </c>
      <c r="B10" s="92">
        <v>6</v>
      </c>
      <c r="C10" s="93"/>
      <c r="I10" s="94"/>
    </row>
    <row r="11" spans="1:9" x14ac:dyDescent="0.25">
      <c r="A11" t="s">
        <v>256</v>
      </c>
      <c r="B11" s="92">
        <v>10</v>
      </c>
      <c r="C11" s="93"/>
      <c r="I11" s="90"/>
    </row>
    <row r="12" spans="1:9" x14ac:dyDescent="0.25">
      <c r="A12" t="s">
        <v>249</v>
      </c>
      <c r="B12" s="92">
        <v>9</v>
      </c>
      <c r="C12" s="93"/>
      <c r="I12" s="90"/>
    </row>
    <row r="13" spans="1:9" x14ac:dyDescent="0.25">
      <c r="A13" t="s">
        <v>252</v>
      </c>
      <c r="B13" s="92">
        <v>179</v>
      </c>
      <c r="C13" s="93"/>
      <c r="I13" s="90"/>
    </row>
    <row r="14" spans="1:9" x14ac:dyDescent="0.25">
      <c r="A14" t="s">
        <v>253</v>
      </c>
      <c r="B14" s="92">
        <v>6</v>
      </c>
      <c r="I14" s="90"/>
    </row>
    <row r="15" spans="1:9" x14ac:dyDescent="0.25">
      <c r="A15" t="s">
        <v>250</v>
      </c>
      <c r="B15" s="92">
        <v>12</v>
      </c>
      <c r="I15" s="90"/>
    </row>
    <row r="16" spans="1:9" x14ac:dyDescent="0.25">
      <c r="A16" t="s">
        <v>258</v>
      </c>
      <c r="B16" s="92">
        <v>6</v>
      </c>
    </row>
    <row r="17" spans="1:2" x14ac:dyDescent="0.25">
      <c r="A17" t="s">
        <v>251</v>
      </c>
      <c r="B17" s="92">
        <v>4</v>
      </c>
    </row>
    <row r="18" spans="1:2" x14ac:dyDescent="0.25">
      <c r="A18" t="s">
        <v>248</v>
      </c>
      <c r="B18" s="92">
        <v>18</v>
      </c>
    </row>
    <row r="19" spans="1:2" x14ac:dyDescent="0.25">
      <c r="A19" t="s">
        <v>260</v>
      </c>
      <c r="B19" s="92">
        <v>6</v>
      </c>
    </row>
    <row r="20" spans="1:2" x14ac:dyDescent="0.25">
      <c r="A20" t="s">
        <v>247</v>
      </c>
      <c r="B20" s="92">
        <v>4</v>
      </c>
    </row>
  </sheetData>
  <sheetProtection algorithmName="SHA-512" hashValue="6A230UjtPQ/ZTDkHqJMvD3fyfuFDcA0cuQprodGo+jJ44/ICWNWOvHxKorKA4qh+1btb5C/xq+Gfb9hbCpNiZw==" saltValue="UrbKdbZy0xjVMTXPGTwkRw=="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89A5-817A-4F11-A3B4-32F72CEC3DE8}">
  <sheetPr codeName="Sheet7"/>
  <dimension ref="A1:N75"/>
  <sheetViews>
    <sheetView workbookViewId="0">
      <selection activeCell="G12" sqref="G12"/>
    </sheetView>
  </sheetViews>
  <sheetFormatPr defaultRowHeight="15" x14ac:dyDescent="0.25"/>
  <cols>
    <col min="1" max="1" width="23.85546875" customWidth="1"/>
    <col min="2" max="2" width="16.7109375" customWidth="1"/>
    <col min="4" max="4" width="10.28515625" bestFit="1" customWidth="1"/>
    <col min="5" max="5" width="23.42578125" customWidth="1"/>
    <col min="9" max="9" width="25.85546875" customWidth="1"/>
  </cols>
  <sheetData>
    <row r="1" spans="1:14" ht="31.15" customHeight="1" x14ac:dyDescent="0.25">
      <c r="A1" s="88" t="s">
        <v>158</v>
      </c>
      <c r="E1" t="s">
        <v>166</v>
      </c>
      <c r="H1" t="s">
        <v>172</v>
      </c>
      <c r="I1" s="121" t="s">
        <v>48</v>
      </c>
    </row>
    <row r="2" spans="1:14" ht="64.150000000000006" customHeight="1" x14ac:dyDescent="0.25">
      <c r="A2" s="149" t="s">
        <v>365</v>
      </c>
      <c r="B2" s="150"/>
      <c r="C2" s="150"/>
      <c r="D2" s="150"/>
      <c r="E2" s="150"/>
      <c r="F2" s="150"/>
      <c r="G2" s="150"/>
      <c r="H2" s="150"/>
      <c r="I2" s="150"/>
    </row>
    <row r="3" spans="1:14" ht="64.150000000000006" customHeight="1" x14ac:dyDescent="0.25">
      <c r="A3" t="s">
        <v>162</v>
      </c>
      <c r="G3" t="s">
        <v>170</v>
      </c>
    </row>
    <row r="4" spans="1:14" x14ac:dyDescent="0.25">
      <c r="N4" s="134" t="s">
        <v>429</v>
      </c>
    </row>
    <row r="5" spans="1:14" x14ac:dyDescent="0.25">
      <c r="A5" s="103" t="s">
        <v>178</v>
      </c>
      <c r="B5" s="86" t="s">
        <v>393</v>
      </c>
      <c r="C5" s="86" t="s">
        <v>309</v>
      </c>
      <c r="D5" t="s">
        <v>310</v>
      </c>
      <c r="N5" s="134" t="s">
        <v>430</v>
      </c>
    </row>
    <row r="6" spans="1:14" x14ac:dyDescent="0.25">
      <c r="A6" s="86" t="s">
        <v>311</v>
      </c>
      <c r="B6" s="104" t="s">
        <v>312</v>
      </c>
      <c r="C6" s="86">
        <v>1</v>
      </c>
      <c r="D6" s="102">
        <v>41403</v>
      </c>
      <c r="N6" s="134" t="s">
        <v>431</v>
      </c>
    </row>
    <row r="7" spans="1:14" x14ac:dyDescent="0.25">
      <c r="A7" t="s">
        <v>311</v>
      </c>
      <c r="B7" s="93" t="s">
        <v>312</v>
      </c>
      <c r="C7">
        <v>1</v>
      </c>
      <c r="D7" s="102">
        <v>41423</v>
      </c>
      <c r="I7" s="90"/>
      <c r="N7" s="134" t="s">
        <v>432</v>
      </c>
    </row>
    <row r="8" spans="1:14" x14ac:dyDescent="0.25">
      <c r="A8" t="s">
        <v>313</v>
      </c>
      <c r="B8" s="93" t="s">
        <v>314</v>
      </c>
      <c r="C8">
        <v>1</v>
      </c>
      <c r="D8" s="102">
        <v>41403</v>
      </c>
      <c r="I8" s="90"/>
      <c r="N8" s="134" t="s">
        <v>433</v>
      </c>
    </row>
    <row r="9" spans="1:14" x14ac:dyDescent="0.25">
      <c r="A9" t="s">
        <v>313</v>
      </c>
      <c r="B9" s="93" t="s">
        <v>314</v>
      </c>
      <c r="C9">
        <v>1</v>
      </c>
      <c r="D9" s="102">
        <v>41423</v>
      </c>
      <c r="I9" s="90"/>
      <c r="N9" s="134" t="s">
        <v>434</v>
      </c>
    </row>
    <row r="10" spans="1:14" x14ac:dyDescent="0.25">
      <c r="A10" t="s">
        <v>198</v>
      </c>
      <c r="B10" s="93" t="s">
        <v>315</v>
      </c>
      <c r="C10">
        <v>1</v>
      </c>
      <c r="D10" s="102">
        <v>41403</v>
      </c>
      <c r="I10" s="94"/>
      <c r="N10" s="134" t="s">
        <v>435</v>
      </c>
    </row>
    <row r="11" spans="1:14" x14ac:dyDescent="0.25">
      <c r="A11" t="s">
        <v>198</v>
      </c>
      <c r="B11" t="s">
        <v>315</v>
      </c>
      <c r="C11">
        <v>1</v>
      </c>
      <c r="D11" s="102">
        <v>41423</v>
      </c>
      <c r="I11" s="90"/>
      <c r="N11" s="134" t="s">
        <v>436</v>
      </c>
    </row>
    <row r="12" spans="1:14" x14ac:dyDescent="0.25">
      <c r="A12" t="s">
        <v>186</v>
      </c>
      <c r="B12" t="s">
        <v>316</v>
      </c>
      <c r="C12">
        <v>0</v>
      </c>
      <c r="D12" s="93" t="s">
        <v>317</v>
      </c>
      <c r="I12" s="90"/>
      <c r="N12" s="134" t="s">
        <v>437</v>
      </c>
    </row>
    <row r="13" spans="1:14" x14ac:dyDescent="0.25">
      <c r="A13" t="s">
        <v>197</v>
      </c>
      <c r="B13" t="s">
        <v>318</v>
      </c>
      <c r="C13">
        <v>1</v>
      </c>
      <c r="D13" s="102">
        <v>41403</v>
      </c>
    </row>
    <row r="14" spans="1:14" x14ac:dyDescent="0.25">
      <c r="A14" t="s">
        <v>197</v>
      </c>
      <c r="B14" t="s">
        <v>318</v>
      </c>
      <c r="C14">
        <v>1</v>
      </c>
      <c r="D14" s="102">
        <v>41423</v>
      </c>
    </row>
    <row r="15" spans="1:14" x14ac:dyDescent="0.25">
      <c r="A15" t="s">
        <v>319</v>
      </c>
      <c r="B15" t="s">
        <v>320</v>
      </c>
      <c r="C15">
        <v>1</v>
      </c>
      <c r="D15" s="102">
        <v>41058</v>
      </c>
    </row>
    <row r="16" spans="1:14" x14ac:dyDescent="0.25">
      <c r="A16" t="s">
        <v>319</v>
      </c>
      <c r="B16" t="s">
        <v>320</v>
      </c>
      <c r="C16">
        <v>1</v>
      </c>
      <c r="D16" s="102">
        <v>41403</v>
      </c>
    </row>
    <row r="17" spans="1:4" x14ac:dyDescent="0.25">
      <c r="A17" t="s">
        <v>319</v>
      </c>
      <c r="B17" t="s">
        <v>320</v>
      </c>
      <c r="C17">
        <v>1</v>
      </c>
      <c r="D17" s="102">
        <v>41423</v>
      </c>
    </row>
    <row r="18" spans="1:4" x14ac:dyDescent="0.25">
      <c r="A18" t="s">
        <v>321</v>
      </c>
      <c r="B18" t="s">
        <v>322</v>
      </c>
      <c r="C18">
        <v>1</v>
      </c>
      <c r="D18" s="102">
        <v>41058</v>
      </c>
    </row>
    <row r="19" spans="1:4" x14ac:dyDescent="0.25">
      <c r="A19" t="s">
        <v>321</v>
      </c>
      <c r="B19" t="s">
        <v>322</v>
      </c>
      <c r="C19">
        <v>1</v>
      </c>
      <c r="D19" s="102">
        <v>41403</v>
      </c>
    </row>
    <row r="20" spans="1:4" x14ac:dyDescent="0.25">
      <c r="A20" t="s">
        <v>321</v>
      </c>
      <c r="B20" t="s">
        <v>322</v>
      </c>
      <c r="C20">
        <v>1</v>
      </c>
      <c r="D20" s="102">
        <v>41423</v>
      </c>
    </row>
    <row r="21" spans="1:4" x14ac:dyDescent="0.25">
      <c r="A21" t="s">
        <v>188</v>
      </c>
      <c r="B21" t="s">
        <v>323</v>
      </c>
      <c r="C21">
        <v>1</v>
      </c>
      <c r="D21" s="102">
        <v>41058</v>
      </c>
    </row>
    <row r="22" spans="1:4" x14ac:dyDescent="0.25">
      <c r="A22" t="s">
        <v>188</v>
      </c>
      <c r="B22" t="s">
        <v>323</v>
      </c>
      <c r="C22">
        <v>1</v>
      </c>
      <c r="D22" s="102">
        <v>41403</v>
      </c>
    </row>
    <row r="23" spans="1:4" x14ac:dyDescent="0.25">
      <c r="A23" t="s">
        <v>188</v>
      </c>
      <c r="B23" t="s">
        <v>323</v>
      </c>
      <c r="C23">
        <v>1</v>
      </c>
      <c r="D23" s="102">
        <v>41423</v>
      </c>
    </row>
    <row r="24" spans="1:4" x14ac:dyDescent="0.25">
      <c r="A24" t="s">
        <v>189</v>
      </c>
      <c r="B24" t="s">
        <v>324</v>
      </c>
      <c r="C24">
        <v>1</v>
      </c>
      <c r="D24" s="102">
        <v>41058</v>
      </c>
    </row>
    <row r="25" spans="1:4" x14ac:dyDescent="0.25">
      <c r="A25" t="s">
        <v>189</v>
      </c>
      <c r="B25" t="s">
        <v>324</v>
      </c>
      <c r="C25">
        <v>1</v>
      </c>
      <c r="D25" s="102">
        <v>41403</v>
      </c>
    </row>
    <row r="26" spans="1:4" x14ac:dyDescent="0.25">
      <c r="A26" t="s">
        <v>189</v>
      </c>
      <c r="B26" t="s">
        <v>324</v>
      </c>
      <c r="C26">
        <v>1</v>
      </c>
      <c r="D26" s="102">
        <v>41423</v>
      </c>
    </row>
    <row r="27" spans="1:4" x14ac:dyDescent="0.25">
      <c r="A27" t="s">
        <v>187</v>
      </c>
      <c r="B27" t="s">
        <v>325</v>
      </c>
      <c r="C27">
        <v>0</v>
      </c>
      <c r="D27" s="93" t="s">
        <v>317</v>
      </c>
    </row>
    <row r="28" spans="1:4" x14ac:dyDescent="0.25">
      <c r="A28" t="s">
        <v>326</v>
      </c>
      <c r="B28" t="s">
        <v>327</v>
      </c>
      <c r="C28">
        <v>1</v>
      </c>
      <c r="D28" s="102">
        <v>41058</v>
      </c>
    </row>
    <row r="29" spans="1:4" x14ac:dyDescent="0.25">
      <c r="A29" t="s">
        <v>326</v>
      </c>
      <c r="B29" t="s">
        <v>327</v>
      </c>
      <c r="C29">
        <v>1</v>
      </c>
      <c r="D29" s="102">
        <v>41403</v>
      </c>
    </row>
    <row r="30" spans="1:4" x14ac:dyDescent="0.25">
      <c r="A30" t="s">
        <v>326</v>
      </c>
      <c r="B30" t="s">
        <v>327</v>
      </c>
      <c r="C30">
        <v>1</v>
      </c>
      <c r="D30" s="102">
        <v>41423</v>
      </c>
    </row>
    <row r="31" spans="1:4" x14ac:dyDescent="0.25">
      <c r="A31" t="s">
        <v>328</v>
      </c>
      <c r="B31" t="s">
        <v>329</v>
      </c>
      <c r="C31">
        <v>1</v>
      </c>
      <c r="D31" s="102">
        <v>41058</v>
      </c>
    </row>
    <row r="32" spans="1:4" x14ac:dyDescent="0.25">
      <c r="A32" t="s">
        <v>328</v>
      </c>
      <c r="B32" t="s">
        <v>329</v>
      </c>
      <c r="C32">
        <v>1</v>
      </c>
      <c r="D32" s="102">
        <v>41403</v>
      </c>
    </row>
    <row r="33" spans="1:4" x14ac:dyDescent="0.25">
      <c r="A33" t="s">
        <v>328</v>
      </c>
      <c r="B33" t="s">
        <v>329</v>
      </c>
      <c r="C33">
        <v>1</v>
      </c>
      <c r="D33" s="102">
        <v>41423</v>
      </c>
    </row>
    <row r="34" spans="1:4" x14ac:dyDescent="0.25">
      <c r="A34" t="s">
        <v>195</v>
      </c>
      <c r="B34" t="s">
        <v>330</v>
      </c>
      <c r="C34">
        <v>1</v>
      </c>
      <c r="D34" s="102">
        <v>41058</v>
      </c>
    </row>
    <row r="35" spans="1:4" x14ac:dyDescent="0.25">
      <c r="A35" t="s">
        <v>195</v>
      </c>
      <c r="B35" t="s">
        <v>330</v>
      </c>
      <c r="C35">
        <v>1</v>
      </c>
      <c r="D35" s="102">
        <v>41403</v>
      </c>
    </row>
    <row r="36" spans="1:4" x14ac:dyDescent="0.25">
      <c r="A36" t="s">
        <v>195</v>
      </c>
      <c r="B36" t="s">
        <v>330</v>
      </c>
      <c r="C36">
        <v>1</v>
      </c>
      <c r="D36" s="102">
        <v>41423</v>
      </c>
    </row>
    <row r="37" spans="1:4" x14ac:dyDescent="0.25">
      <c r="A37" t="s">
        <v>331</v>
      </c>
      <c r="B37" t="s">
        <v>332</v>
      </c>
      <c r="C37">
        <v>1</v>
      </c>
      <c r="D37" s="102">
        <v>41058</v>
      </c>
    </row>
    <row r="38" spans="1:4" x14ac:dyDescent="0.25">
      <c r="A38" t="s">
        <v>331</v>
      </c>
      <c r="B38" t="s">
        <v>332</v>
      </c>
      <c r="C38">
        <v>1</v>
      </c>
      <c r="D38" s="102">
        <v>41403</v>
      </c>
    </row>
    <row r="39" spans="1:4" x14ac:dyDescent="0.25">
      <c r="A39" t="s">
        <v>331</v>
      </c>
      <c r="B39" t="s">
        <v>332</v>
      </c>
      <c r="C39">
        <v>1</v>
      </c>
      <c r="D39" s="102">
        <v>41423</v>
      </c>
    </row>
    <row r="40" spans="1:4" x14ac:dyDescent="0.25">
      <c r="A40" t="s">
        <v>333</v>
      </c>
      <c r="B40" t="s">
        <v>334</v>
      </c>
      <c r="C40">
        <v>1</v>
      </c>
      <c r="D40" s="102">
        <v>41058</v>
      </c>
    </row>
    <row r="41" spans="1:4" x14ac:dyDescent="0.25">
      <c r="A41" t="s">
        <v>333</v>
      </c>
      <c r="B41" t="s">
        <v>334</v>
      </c>
      <c r="C41">
        <v>1</v>
      </c>
      <c r="D41" s="102">
        <v>41403</v>
      </c>
    </row>
    <row r="42" spans="1:4" x14ac:dyDescent="0.25">
      <c r="A42" t="s">
        <v>333</v>
      </c>
      <c r="B42" t="s">
        <v>334</v>
      </c>
      <c r="C42">
        <v>1</v>
      </c>
      <c r="D42" s="102">
        <v>41423</v>
      </c>
    </row>
    <row r="43" spans="1:4" x14ac:dyDescent="0.25">
      <c r="A43" t="s">
        <v>335</v>
      </c>
      <c r="B43" t="s">
        <v>336</v>
      </c>
      <c r="C43">
        <v>1</v>
      </c>
      <c r="D43" s="102">
        <v>41058</v>
      </c>
    </row>
    <row r="44" spans="1:4" x14ac:dyDescent="0.25">
      <c r="A44" t="s">
        <v>335</v>
      </c>
      <c r="B44" t="s">
        <v>336</v>
      </c>
      <c r="C44">
        <v>1</v>
      </c>
      <c r="D44" s="102">
        <v>41403</v>
      </c>
    </row>
    <row r="45" spans="1:4" x14ac:dyDescent="0.25">
      <c r="A45" t="s">
        <v>335</v>
      </c>
      <c r="B45" t="s">
        <v>336</v>
      </c>
      <c r="C45">
        <v>1</v>
      </c>
      <c r="D45" s="102">
        <v>41423</v>
      </c>
    </row>
    <row r="46" spans="1:4" x14ac:dyDescent="0.25">
      <c r="A46" t="s">
        <v>190</v>
      </c>
      <c r="B46" t="s">
        <v>337</v>
      </c>
      <c r="C46">
        <v>1</v>
      </c>
      <c r="D46" s="102">
        <v>41058</v>
      </c>
    </row>
    <row r="47" spans="1:4" x14ac:dyDescent="0.25">
      <c r="A47" t="s">
        <v>190</v>
      </c>
      <c r="B47" t="s">
        <v>337</v>
      </c>
      <c r="C47">
        <v>1</v>
      </c>
      <c r="D47" s="102">
        <v>41403</v>
      </c>
    </row>
    <row r="48" spans="1:4" x14ac:dyDescent="0.25">
      <c r="A48" t="s">
        <v>190</v>
      </c>
      <c r="B48" t="s">
        <v>337</v>
      </c>
      <c r="C48">
        <v>1</v>
      </c>
      <c r="D48" s="102">
        <v>41423</v>
      </c>
    </row>
    <row r="49" spans="1:4" x14ac:dyDescent="0.25">
      <c r="A49" t="s">
        <v>338</v>
      </c>
      <c r="B49" t="s">
        <v>339</v>
      </c>
      <c r="C49">
        <v>1</v>
      </c>
      <c r="D49" s="102">
        <v>41058</v>
      </c>
    </row>
    <row r="50" spans="1:4" x14ac:dyDescent="0.25">
      <c r="A50" t="s">
        <v>338</v>
      </c>
      <c r="B50" t="s">
        <v>339</v>
      </c>
      <c r="C50">
        <v>1</v>
      </c>
      <c r="D50" s="102">
        <v>41423</v>
      </c>
    </row>
    <row r="51" spans="1:4" x14ac:dyDescent="0.25">
      <c r="A51" t="s">
        <v>340</v>
      </c>
      <c r="B51" t="s">
        <v>341</v>
      </c>
      <c r="C51">
        <v>1</v>
      </c>
      <c r="D51" s="102">
        <v>41058</v>
      </c>
    </row>
    <row r="52" spans="1:4" x14ac:dyDescent="0.25">
      <c r="A52" t="s">
        <v>340</v>
      </c>
      <c r="B52" t="s">
        <v>341</v>
      </c>
      <c r="C52">
        <v>1</v>
      </c>
      <c r="D52" s="102">
        <v>41423</v>
      </c>
    </row>
    <row r="53" spans="1:4" x14ac:dyDescent="0.25">
      <c r="A53" t="s">
        <v>342</v>
      </c>
      <c r="B53" t="s">
        <v>343</v>
      </c>
      <c r="C53">
        <v>1</v>
      </c>
      <c r="D53" s="102">
        <v>41058</v>
      </c>
    </row>
    <row r="54" spans="1:4" x14ac:dyDescent="0.25">
      <c r="A54" t="s">
        <v>342</v>
      </c>
      <c r="B54" t="s">
        <v>343</v>
      </c>
      <c r="C54">
        <v>1</v>
      </c>
      <c r="D54" s="102">
        <v>41423</v>
      </c>
    </row>
    <row r="55" spans="1:4" x14ac:dyDescent="0.25">
      <c r="A55" t="s">
        <v>191</v>
      </c>
      <c r="B55" t="s">
        <v>344</v>
      </c>
      <c r="C55">
        <v>1</v>
      </c>
      <c r="D55" s="102">
        <v>41058</v>
      </c>
    </row>
    <row r="56" spans="1:4" x14ac:dyDescent="0.25">
      <c r="A56" t="s">
        <v>191</v>
      </c>
      <c r="B56" t="s">
        <v>344</v>
      </c>
      <c r="C56">
        <v>1</v>
      </c>
      <c r="D56" s="102">
        <v>41423</v>
      </c>
    </row>
    <row r="57" spans="1:4" x14ac:dyDescent="0.25">
      <c r="A57" t="s">
        <v>345</v>
      </c>
      <c r="B57" t="s">
        <v>346</v>
      </c>
      <c r="C57">
        <v>1</v>
      </c>
      <c r="D57" s="102">
        <v>41058</v>
      </c>
    </row>
    <row r="58" spans="1:4" x14ac:dyDescent="0.25">
      <c r="A58" t="s">
        <v>345</v>
      </c>
      <c r="B58" t="s">
        <v>346</v>
      </c>
      <c r="C58">
        <v>1</v>
      </c>
      <c r="D58" s="102">
        <v>41423</v>
      </c>
    </row>
    <row r="59" spans="1:4" x14ac:dyDescent="0.25">
      <c r="A59" t="s">
        <v>347</v>
      </c>
      <c r="B59" t="s">
        <v>348</v>
      </c>
      <c r="C59">
        <v>1</v>
      </c>
      <c r="D59" s="102">
        <v>41058</v>
      </c>
    </row>
    <row r="60" spans="1:4" x14ac:dyDescent="0.25">
      <c r="A60" t="s">
        <v>347</v>
      </c>
      <c r="B60" t="s">
        <v>348</v>
      </c>
      <c r="C60">
        <v>1</v>
      </c>
      <c r="D60" s="102">
        <v>41423</v>
      </c>
    </row>
    <row r="61" spans="1:4" x14ac:dyDescent="0.25">
      <c r="A61" t="s">
        <v>192</v>
      </c>
      <c r="B61" t="s">
        <v>349</v>
      </c>
      <c r="C61">
        <v>1</v>
      </c>
      <c r="D61" s="102">
        <v>41058</v>
      </c>
    </row>
    <row r="62" spans="1:4" x14ac:dyDescent="0.25">
      <c r="A62" t="s">
        <v>350</v>
      </c>
      <c r="B62" t="s">
        <v>351</v>
      </c>
      <c r="C62">
        <v>1</v>
      </c>
      <c r="D62" s="102">
        <v>41058</v>
      </c>
    </row>
    <row r="63" spans="1:4" x14ac:dyDescent="0.25">
      <c r="A63" t="s">
        <v>352</v>
      </c>
      <c r="B63" t="s">
        <v>353</v>
      </c>
      <c r="C63">
        <v>1</v>
      </c>
      <c r="D63" s="102">
        <v>41058</v>
      </c>
    </row>
    <row r="64" spans="1:4" x14ac:dyDescent="0.25">
      <c r="A64" t="s">
        <v>193</v>
      </c>
      <c r="B64" t="s">
        <v>354</v>
      </c>
      <c r="C64">
        <v>1</v>
      </c>
      <c r="D64" s="102">
        <v>41058</v>
      </c>
    </row>
    <row r="65" spans="1:4" x14ac:dyDescent="0.25">
      <c r="A65" t="s">
        <v>194</v>
      </c>
      <c r="B65" t="s">
        <v>355</v>
      </c>
      <c r="C65">
        <v>1</v>
      </c>
      <c r="D65" s="102">
        <v>41058</v>
      </c>
    </row>
    <row r="66" spans="1:4" x14ac:dyDescent="0.25">
      <c r="A66" t="s">
        <v>356</v>
      </c>
      <c r="B66" t="s">
        <v>357</v>
      </c>
      <c r="C66">
        <v>1</v>
      </c>
      <c r="D66" s="102">
        <v>41403</v>
      </c>
    </row>
    <row r="67" spans="1:4" x14ac:dyDescent="0.25">
      <c r="A67" t="s">
        <v>356</v>
      </c>
      <c r="B67" t="s">
        <v>357</v>
      </c>
      <c r="C67">
        <v>1</v>
      </c>
      <c r="D67" s="102">
        <v>41423</v>
      </c>
    </row>
    <row r="68" spans="1:4" x14ac:dyDescent="0.25">
      <c r="A68" t="s">
        <v>358</v>
      </c>
      <c r="B68" t="s">
        <v>359</v>
      </c>
      <c r="C68">
        <v>1</v>
      </c>
      <c r="D68" s="102">
        <v>41403</v>
      </c>
    </row>
    <row r="69" spans="1:4" x14ac:dyDescent="0.25">
      <c r="A69" t="s">
        <v>358</v>
      </c>
      <c r="B69" t="s">
        <v>359</v>
      </c>
      <c r="C69">
        <v>1</v>
      </c>
      <c r="D69" s="102">
        <v>41423</v>
      </c>
    </row>
    <row r="70" spans="1:4" x14ac:dyDescent="0.25">
      <c r="A70" t="s">
        <v>196</v>
      </c>
      <c r="B70" t="s">
        <v>360</v>
      </c>
      <c r="C70">
        <v>1</v>
      </c>
      <c r="D70" s="102">
        <v>41403</v>
      </c>
    </row>
    <row r="71" spans="1:4" x14ac:dyDescent="0.25">
      <c r="A71" t="s">
        <v>196</v>
      </c>
      <c r="B71" t="s">
        <v>360</v>
      </c>
      <c r="C71">
        <v>1</v>
      </c>
      <c r="D71" s="102">
        <v>41423</v>
      </c>
    </row>
    <row r="72" spans="1:4" x14ac:dyDescent="0.25">
      <c r="A72" t="s">
        <v>361</v>
      </c>
      <c r="B72" t="s">
        <v>362</v>
      </c>
      <c r="C72">
        <v>1</v>
      </c>
      <c r="D72" s="102">
        <v>41403</v>
      </c>
    </row>
    <row r="73" spans="1:4" x14ac:dyDescent="0.25">
      <c r="A73" t="s">
        <v>361</v>
      </c>
      <c r="B73" t="s">
        <v>362</v>
      </c>
      <c r="C73">
        <v>1</v>
      </c>
      <c r="D73" s="102">
        <v>41423</v>
      </c>
    </row>
    <row r="74" spans="1:4" x14ac:dyDescent="0.25">
      <c r="A74" t="s">
        <v>363</v>
      </c>
      <c r="B74" t="s">
        <v>364</v>
      </c>
      <c r="C74">
        <v>1</v>
      </c>
      <c r="D74" s="102">
        <v>41403</v>
      </c>
    </row>
    <row r="75" spans="1:4" x14ac:dyDescent="0.25">
      <c r="A75" t="s">
        <v>363</v>
      </c>
      <c r="B75" t="s">
        <v>364</v>
      </c>
      <c r="C75">
        <v>1</v>
      </c>
      <c r="D75" s="102">
        <v>41423</v>
      </c>
    </row>
  </sheetData>
  <sheetProtection algorithmName="SHA-512" hashValue="+MZOdwxB/MMkZomH883udpj6yNrPJYlk517A5bWKYKEKgJ4giWPD9FIpc9kCXD0ufW25ucQfSzcbI27SWoCwBA==" saltValue="v2liLvIER7BHbZ1xWtpbBw==" spinCount="100000" sheet="1" objects="1" scenarios="1"/>
  <mergeCells count="1">
    <mergeCell ref="A2:I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7DF9-9F58-4E28-BF3B-8AEC4ADF802A}">
  <sheetPr codeName="Sheet8"/>
  <dimension ref="A1:H37"/>
  <sheetViews>
    <sheetView workbookViewId="0">
      <selection activeCell="A16" sqref="A16"/>
    </sheetView>
  </sheetViews>
  <sheetFormatPr defaultRowHeight="15" x14ac:dyDescent="0.25"/>
  <cols>
    <col min="1" max="1" width="30.7109375" customWidth="1"/>
    <col min="2" max="2" width="26.28515625" customWidth="1"/>
    <col min="4" max="4" width="10.28515625" bestFit="1" customWidth="1"/>
  </cols>
  <sheetData>
    <row r="1" spans="1:8" x14ac:dyDescent="0.25">
      <c r="A1" cm="1">
        <f t="array" ref="A1">gradeGenericQuestionRange("Text",A4:D37,C1,Question3!A5:D38)</f>
        <v>0.95588243007659912</v>
      </c>
      <c r="C1">
        <v>10</v>
      </c>
    </row>
    <row r="2" spans="1:8" x14ac:dyDescent="0.25">
      <c r="F2" s="90" t="s">
        <v>302</v>
      </c>
      <c r="H2" s="90"/>
    </row>
    <row r="3" spans="1:8" x14ac:dyDescent="0.25">
      <c r="F3" s="90" t="s">
        <v>303</v>
      </c>
      <c r="H3" s="90"/>
    </row>
    <row r="4" spans="1:8" x14ac:dyDescent="0.25">
      <c r="A4" s="91" t="s">
        <v>173</v>
      </c>
      <c r="B4" t="s">
        <v>267</v>
      </c>
      <c r="C4" t="s">
        <v>309</v>
      </c>
      <c r="D4" t="s">
        <v>310</v>
      </c>
      <c r="F4" s="90" t="s">
        <v>304</v>
      </c>
      <c r="H4" s="90"/>
    </row>
    <row r="5" spans="1:8" x14ac:dyDescent="0.25">
      <c r="A5" t="s">
        <v>311</v>
      </c>
      <c r="B5" s="93" t="s">
        <v>312</v>
      </c>
      <c r="C5">
        <v>2</v>
      </c>
      <c r="D5" s="93">
        <v>41423</v>
      </c>
      <c r="F5" s="94" t="s">
        <v>305</v>
      </c>
      <c r="H5" s="90"/>
    </row>
    <row r="6" spans="1:8" x14ac:dyDescent="0.25">
      <c r="A6" t="s">
        <v>313</v>
      </c>
      <c r="B6" s="93" t="s">
        <v>314</v>
      </c>
      <c r="C6">
        <v>2</v>
      </c>
      <c r="D6" s="93">
        <v>41423</v>
      </c>
      <c r="F6" s="90" t="s">
        <v>306</v>
      </c>
      <c r="H6" s="90"/>
    </row>
    <row r="7" spans="1:8" x14ac:dyDescent="0.25">
      <c r="A7" t="s">
        <v>198</v>
      </c>
      <c r="B7" s="93" t="s">
        <v>315</v>
      </c>
      <c r="C7">
        <v>2</v>
      </c>
      <c r="D7" s="93">
        <v>41423</v>
      </c>
      <c r="F7" s="90" t="s">
        <v>307</v>
      </c>
    </row>
    <row r="8" spans="1:8" x14ac:dyDescent="0.25">
      <c r="A8" t="s">
        <v>186</v>
      </c>
      <c r="B8" s="93" t="s">
        <v>316</v>
      </c>
      <c r="C8">
        <v>1</v>
      </c>
      <c r="D8" s="93" t="s">
        <v>317</v>
      </c>
      <c r="F8" s="90" t="s">
        <v>308</v>
      </c>
    </row>
    <row r="9" spans="1:8" x14ac:dyDescent="0.25">
      <c r="A9" t="s">
        <v>197</v>
      </c>
      <c r="B9" s="93" t="s">
        <v>318</v>
      </c>
      <c r="C9">
        <v>2</v>
      </c>
      <c r="D9" s="93">
        <v>41423</v>
      </c>
      <c r="F9" s="94"/>
    </row>
    <row r="10" spans="1:8" x14ac:dyDescent="0.25">
      <c r="A10" t="s">
        <v>319</v>
      </c>
      <c r="B10" t="s">
        <v>320</v>
      </c>
      <c r="C10">
        <v>3</v>
      </c>
      <c r="D10" s="93">
        <v>41423</v>
      </c>
      <c r="F10" s="90"/>
    </row>
    <row r="11" spans="1:8" x14ac:dyDescent="0.25">
      <c r="A11" t="s">
        <v>321</v>
      </c>
      <c r="B11" t="s">
        <v>322</v>
      </c>
      <c r="C11">
        <v>3</v>
      </c>
      <c r="D11" s="93">
        <v>41423</v>
      </c>
      <c r="F11" s="94"/>
    </row>
    <row r="12" spans="1:8" x14ac:dyDescent="0.25">
      <c r="A12" t="s">
        <v>188</v>
      </c>
      <c r="B12" t="s">
        <v>323</v>
      </c>
      <c r="C12">
        <v>3</v>
      </c>
      <c r="D12" s="93">
        <v>41423</v>
      </c>
      <c r="F12" s="90"/>
    </row>
    <row r="13" spans="1:8" x14ac:dyDescent="0.25">
      <c r="A13" t="s">
        <v>189</v>
      </c>
      <c r="B13" t="s">
        <v>324</v>
      </c>
      <c r="C13">
        <v>3</v>
      </c>
      <c r="D13" s="93">
        <v>41423</v>
      </c>
      <c r="F13" s="90"/>
    </row>
    <row r="14" spans="1:8" x14ac:dyDescent="0.25">
      <c r="A14" t="s">
        <v>187</v>
      </c>
      <c r="B14" t="s">
        <v>325</v>
      </c>
      <c r="C14">
        <v>1</v>
      </c>
      <c r="D14" s="93" t="s">
        <v>317</v>
      </c>
    </row>
    <row r="15" spans="1:8" x14ac:dyDescent="0.25">
      <c r="A15" t="s">
        <v>326</v>
      </c>
      <c r="B15" t="s">
        <v>327</v>
      </c>
      <c r="C15">
        <v>3</v>
      </c>
      <c r="D15" s="93">
        <v>41423</v>
      </c>
    </row>
    <row r="16" spans="1:8" x14ac:dyDescent="0.25">
      <c r="A16" t="s">
        <v>328</v>
      </c>
      <c r="B16" t="s">
        <v>329</v>
      </c>
      <c r="C16">
        <v>3</v>
      </c>
      <c r="D16" s="93">
        <v>41423</v>
      </c>
    </row>
    <row r="17" spans="1:4" x14ac:dyDescent="0.25">
      <c r="A17" t="s">
        <v>195</v>
      </c>
      <c r="B17" t="s">
        <v>330</v>
      </c>
      <c r="C17">
        <v>3</v>
      </c>
      <c r="D17" s="93">
        <v>41423</v>
      </c>
    </row>
    <row r="18" spans="1:4" x14ac:dyDescent="0.25">
      <c r="A18" t="s">
        <v>331</v>
      </c>
      <c r="B18" t="s">
        <v>332</v>
      </c>
      <c r="C18">
        <v>3</v>
      </c>
      <c r="D18" s="93">
        <v>41423</v>
      </c>
    </row>
    <row r="19" spans="1:4" x14ac:dyDescent="0.25">
      <c r="A19" t="s">
        <v>333</v>
      </c>
      <c r="B19" t="s">
        <v>334</v>
      </c>
      <c r="C19">
        <v>3</v>
      </c>
      <c r="D19" s="93">
        <v>41423</v>
      </c>
    </row>
    <row r="20" spans="1:4" x14ac:dyDescent="0.25">
      <c r="A20" t="s">
        <v>335</v>
      </c>
      <c r="B20" t="s">
        <v>336</v>
      </c>
      <c r="C20">
        <v>3</v>
      </c>
      <c r="D20" s="93">
        <v>41423</v>
      </c>
    </row>
    <row r="21" spans="1:4" x14ac:dyDescent="0.25">
      <c r="A21" t="s">
        <v>190</v>
      </c>
      <c r="B21" t="s">
        <v>337</v>
      </c>
      <c r="C21">
        <v>3</v>
      </c>
      <c r="D21" s="93">
        <v>41423</v>
      </c>
    </row>
    <row r="22" spans="1:4" x14ac:dyDescent="0.25">
      <c r="A22" t="s">
        <v>338</v>
      </c>
      <c r="B22" t="s">
        <v>339</v>
      </c>
      <c r="C22">
        <v>2</v>
      </c>
      <c r="D22" s="93">
        <v>41423</v>
      </c>
    </row>
    <row r="23" spans="1:4" x14ac:dyDescent="0.25">
      <c r="A23" t="s">
        <v>340</v>
      </c>
      <c r="B23" t="s">
        <v>341</v>
      </c>
      <c r="C23">
        <v>2</v>
      </c>
      <c r="D23" s="93">
        <v>41423</v>
      </c>
    </row>
    <row r="24" spans="1:4" x14ac:dyDescent="0.25">
      <c r="A24" t="s">
        <v>342</v>
      </c>
      <c r="B24" t="s">
        <v>343</v>
      </c>
      <c r="C24">
        <v>2</v>
      </c>
      <c r="D24" s="93">
        <v>41423</v>
      </c>
    </row>
    <row r="25" spans="1:4" x14ac:dyDescent="0.25">
      <c r="A25" t="s">
        <v>191</v>
      </c>
      <c r="B25" t="s">
        <v>344</v>
      </c>
      <c r="C25">
        <v>2</v>
      </c>
      <c r="D25" s="93">
        <v>41423</v>
      </c>
    </row>
    <row r="26" spans="1:4" x14ac:dyDescent="0.25">
      <c r="A26" t="s">
        <v>345</v>
      </c>
      <c r="B26" t="s">
        <v>346</v>
      </c>
      <c r="C26">
        <v>2</v>
      </c>
      <c r="D26" s="93">
        <v>41423</v>
      </c>
    </row>
    <row r="27" spans="1:4" x14ac:dyDescent="0.25">
      <c r="A27" t="s">
        <v>347</v>
      </c>
      <c r="B27" t="s">
        <v>348</v>
      </c>
      <c r="C27">
        <v>2</v>
      </c>
      <c r="D27" s="93">
        <v>41423</v>
      </c>
    </row>
    <row r="28" spans="1:4" x14ac:dyDescent="0.25">
      <c r="A28" t="s">
        <v>192</v>
      </c>
      <c r="B28" t="s">
        <v>349</v>
      </c>
      <c r="C28">
        <v>1</v>
      </c>
      <c r="D28" s="93">
        <v>41058</v>
      </c>
    </row>
    <row r="29" spans="1:4" x14ac:dyDescent="0.25">
      <c r="A29" t="s">
        <v>350</v>
      </c>
      <c r="B29" t="s">
        <v>351</v>
      </c>
      <c r="C29">
        <v>1</v>
      </c>
      <c r="D29" s="93">
        <v>41058</v>
      </c>
    </row>
    <row r="30" spans="1:4" x14ac:dyDescent="0.25">
      <c r="A30" t="s">
        <v>352</v>
      </c>
      <c r="B30" t="s">
        <v>353</v>
      </c>
      <c r="C30">
        <v>1</v>
      </c>
      <c r="D30" s="93">
        <v>41058</v>
      </c>
    </row>
    <row r="31" spans="1:4" x14ac:dyDescent="0.25">
      <c r="A31" t="s">
        <v>193</v>
      </c>
      <c r="B31" t="s">
        <v>354</v>
      </c>
      <c r="C31">
        <v>1</v>
      </c>
      <c r="D31" s="93">
        <v>41058</v>
      </c>
    </row>
    <row r="32" spans="1:4" x14ac:dyDescent="0.25">
      <c r="A32" t="s">
        <v>194</v>
      </c>
      <c r="B32" t="s">
        <v>355</v>
      </c>
      <c r="C32">
        <v>1</v>
      </c>
      <c r="D32" s="93">
        <v>41058</v>
      </c>
    </row>
    <row r="33" spans="1:4" x14ac:dyDescent="0.25">
      <c r="A33" t="s">
        <v>356</v>
      </c>
      <c r="B33" t="s">
        <v>357</v>
      </c>
      <c r="C33">
        <v>2</v>
      </c>
      <c r="D33" s="93">
        <v>41423</v>
      </c>
    </row>
    <row r="34" spans="1:4" x14ac:dyDescent="0.25">
      <c r="A34" t="s">
        <v>358</v>
      </c>
      <c r="B34" t="s">
        <v>359</v>
      </c>
      <c r="C34">
        <v>2</v>
      </c>
      <c r="D34" s="93">
        <v>41423</v>
      </c>
    </row>
    <row r="35" spans="1:4" x14ac:dyDescent="0.25">
      <c r="A35" t="s">
        <v>196</v>
      </c>
      <c r="B35" t="s">
        <v>360</v>
      </c>
      <c r="C35">
        <v>2</v>
      </c>
      <c r="D35" s="93">
        <v>41423</v>
      </c>
    </row>
    <row r="36" spans="1:4" x14ac:dyDescent="0.25">
      <c r="A36" t="s">
        <v>361</v>
      </c>
      <c r="B36" t="s">
        <v>362</v>
      </c>
      <c r="C36">
        <v>2</v>
      </c>
      <c r="D36" s="93">
        <v>41423</v>
      </c>
    </row>
    <row r="37" spans="1:4" x14ac:dyDescent="0.25">
      <c r="A37" t="s">
        <v>363</v>
      </c>
      <c r="B37" t="s">
        <v>364</v>
      </c>
      <c r="C37">
        <v>2</v>
      </c>
      <c r="D37" s="93">
        <v>41423</v>
      </c>
    </row>
  </sheetData>
  <sheetProtection algorithmName="SHA-512" hashValue="MfrygQ6UkHj+8sesepb9utwDMicUxOO0nLkCJrWCLbdHxQKNljzqt8ug17gq1kkUtnsJ6WJ13ZTxcPFb3V+lew==" saltValue="18acfY+jptEQ4Hs0iltB+g=="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F0B3-1218-4B30-AA56-CA3D3BAFC3E9}">
  <sheetPr codeName="Sheet13"/>
  <dimension ref="A1:N295"/>
  <sheetViews>
    <sheetView workbookViewId="0">
      <selection activeCell="A5" sqref="A5:A6"/>
    </sheetView>
  </sheetViews>
  <sheetFormatPr defaultRowHeight="15" x14ac:dyDescent="0.25"/>
  <cols>
    <col min="1" max="1" width="21.7109375" customWidth="1"/>
    <col min="2" max="2" width="21.28515625" customWidth="1"/>
    <col min="3" max="3" width="13.28515625" customWidth="1"/>
    <col min="4" max="4" width="11.5703125" customWidth="1"/>
    <col min="8" max="8" width="32.7109375" customWidth="1"/>
    <col min="11" max="11" width="21.7109375" customWidth="1"/>
  </cols>
  <sheetData>
    <row r="1" spans="1:14" ht="94.9" customHeight="1" x14ac:dyDescent="0.25">
      <c r="A1" s="87" t="s">
        <v>161</v>
      </c>
      <c r="D1" t="s">
        <v>166</v>
      </c>
      <c r="G1" t="s">
        <v>172</v>
      </c>
      <c r="H1" s="120"/>
    </row>
    <row r="2" spans="1:14" ht="75" customHeight="1" x14ac:dyDescent="0.25">
      <c r="A2" s="151" t="s">
        <v>375</v>
      </c>
      <c r="B2" s="152"/>
      <c r="C2" s="152"/>
      <c r="D2" s="152"/>
      <c r="E2" s="152"/>
      <c r="F2" s="152"/>
      <c r="G2" s="152"/>
      <c r="H2" s="152"/>
      <c r="K2" s="120" t="s">
        <v>180</v>
      </c>
    </row>
    <row r="3" spans="1:14" ht="15.75" x14ac:dyDescent="0.25">
      <c r="A3" s="89" t="s">
        <v>165</v>
      </c>
      <c r="K3" t="s">
        <v>170</v>
      </c>
      <c r="N3" s="134" t="s">
        <v>406</v>
      </c>
    </row>
    <row r="4" spans="1:14" x14ac:dyDescent="0.25">
      <c r="N4" s="134" t="s">
        <v>407</v>
      </c>
    </row>
    <row r="5" spans="1:14" x14ac:dyDescent="0.25">
      <c r="A5" s="86" t="s">
        <v>371</v>
      </c>
      <c r="B5" s="86"/>
      <c r="D5" s="93"/>
      <c r="N5" s="135" t="s">
        <v>408</v>
      </c>
    </row>
    <row r="6" spans="1:14" x14ac:dyDescent="0.25">
      <c r="A6" s="86">
        <v>630</v>
      </c>
      <c r="B6" s="122"/>
      <c r="C6" s="93"/>
      <c r="D6" s="129"/>
      <c r="N6" s="135" t="s">
        <v>409</v>
      </c>
    </row>
    <row r="7" spans="1:14" x14ac:dyDescent="0.25">
      <c r="B7" s="92"/>
      <c r="C7" s="93"/>
      <c r="D7" s="129"/>
      <c r="N7" s="135" t="s">
        <v>410</v>
      </c>
    </row>
    <row r="8" spans="1:14" x14ac:dyDescent="0.25">
      <c r="B8" s="92"/>
      <c r="C8" s="93"/>
      <c r="D8" s="129"/>
      <c r="N8" s="135" t="s">
        <v>411</v>
      </c>
    </row>
    <row r="9" spans="1:14" x14ac:dyDescent="0.25">
      <c r="B9" s="92"/>
      <c r="C9" s="93"/>
      <c r="D9" s="129"/>
      <c r="N9" s="135" t="s">
        <v>412</v>
      </c>
    </row>
    <row r="10" spans="1:14" x14ac:dyDescent="0.25">
      <c r="B10" s="92"/>
      <c r="C10" s="93"/>
      <c r="D10" s="129"/>
      <c r="N10" s="135" t="s">
        <v>413</v>
      </c>
    </row>
    <row r="11" spans="1:14" x14ac:dyDescent="0.25">
      <c r="B11" s="92"/>
      <c r="C11" s="93"/>
      <c r="D11" s="129"/>
    </row>
    <row r="12" spans="1:14" x14ac:dyDescent="0.25">
      <c r="B12" s="92"/>
      <c r="C12" s="93"/>
      <c r="D12" s="7"/>
    </row>
    <row r="13" spans="1:14" x14ac:dyDescent="0.25">
      <c r="B13" s="92"/>
      <c r="C13" s="93"/>
      <c r="D13" s="7"/>
    </row>
    <row r="14" spans="1:14" x14ac:dyDescent="0.25">
      <c r="B14" s="92"/>
      <c r="C14" s="93"/>
      <c r="D14" s="7"/>
    </row>
    <row r="15" spans="1:14" x14ac:dyDescent="0.25">
      <c r="B15" s="92"/>
      <c r="C15" s="93"/>
      <c r="D15" s="7"/>
      <c r="K15" s="93"/>
      <c r="L15" s="93"/>
    </row>
    <row r="16" spans="1:14" x14ac:dyDescent="0.25">
      <c r="B16" s="92"/>
      <c r="C16" s="93"/>
      <c r="D16" s="7"/>
      <c r="K16" s="93"/>
      <c r="L16" s="93"/>
    </row>
    <row r="17" spans="2:4" x14ac:dyDescent="0.25">
      <c r="B17" s="92"/>
      <c r="C17" s="93"/>
      <c r="D17" s="7"/>
    </row>
    <row r="18" spans="2:4" x14ac:dyDescent="0.25">
      <c r="B18" s="93"/>
      <c r="C18" s="93"/>
      <c r="D18" s="7"/>
    </row>
    <row r="19" spans="2:4" x14ac:dyDescent="0.25">
      <c r="B19" s="93"/>
      <c r="D19" s="7"/>
    </row>
    <row r="20" spans="2:4" x14ac:dyDescent="0.25">
      <c r="B20" s="93"/>
      <c r="D20" s="7"/>
    </row>
    <row r="21" spans="2:4" x14ac:dyDescent="0.25">
      <c r="B21" s="93"/>
      <c r="D21" s="7"/>
    </row>
    <row r="22" spans="2:4" x14ac:dyDescent="0.25">
      <c r="B22" s="93"/>
      <c r="D22" s="7"/>
    </row>
    <row r="23" spans="2:4" x14ac:dyDescent="0.25">
      <c r="B23" s="93"/>
      <c r="D23" s="7"/>
    </row>
    <row r="24" spans="2:4" x14ac:dyDescent="0.25">
      <c r="B24" s="93"/>
      <c r="D24" s="7"/>
    </row>
    <row r="25" spans="2:4" x14ac:dyDescent="0.25">
      <c r="B25" s="93"/>
      <c r="D25" s="7"/>
    </row>
    <row r="26" spans="2:4" x14ac:dyDescent="0.25">
      <c r="B26" s="93"/>
      <c r="D26" s="7"/>
    </row>
    <row r="27" spans="2:4" x14ac:dyDescent="0.25">
      <c r="B27" s="93"/>
      <c r="D27" s="7"/>
    </row>
    <row r="28" spans="2:4" x14ac:dyDescent="0.25">
      <c r="B28" s="93"/>
      <c r="D28" s="7"/>
    </row>
    <row r="29" spans="2:4" x14ac:dyDescent="0.25">
      <c r="D29" s="93"/>
    </row>
    <row r="30" spans="2:4" x14ac:dyDescent="0.25">
      <c r="D30" s="93"/>
    </row>
    <row r="31" spans="2:4" x14ac:dyDescent="0.25">
      <c r="D31" s="93"/>
    </row>
    <row r="32" spans="2: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row r="295" spans="4:4" x14ac:dyDescent="0.25">
      <c r="D295" s="93"/>
    </row>
  </sheetData>
  <sheetProtection algorithmName="SHA-512" hashValue="b8Gw6bRzQSlPU7m/Exsh25hrGbBFA8SXNRghlRL+m1Kdqnq9GSQodSApYHR37pVHAUD4KSxBPub6AtOXQGPF4Q==" saltValue="DNEs9+P+yd/Puc6YAfBj4A==" spinCount="100000" sheet="1" objects="1" scenarios="1"/>
  <mergeCells count="1">
    <mergeCell ref="A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308C0-A81F-4087-A220-6918D4117DA0}">
  <sheetPr codeName="Sheet14"/>
  <dimension ref="A1:H294"/>
  <sheetViews>
    <sheetView workbookViewId="0">
      <selection activeCell="A3" sqref="A3"/>
    </sheetView>
  </sheetViews>
  <sheetFormatPr defaultRowHeight="15" x14ac:dyDescent="0.25"/>
  <cols>
    <col min="1" max="1" width="21.5703125" customWidth="1"/>
    <col min="2" max="2" width="18.7109375" customWidth="1"/>
    <col min="3" max="3" width="15.140625" customWidth="1"/>
    <col min="4" max="4" width="12.7109375" customWidth="1"/>
  </cols>
  <sheetData>
    <row r="1" spans="1:8" x14ac:dyDescent="0.25">
      <c r="C1">
        <v>10</v>
      </c>
    </row>
    <row r="2" spans="1:8" x14ac:dyDescent="0.25">
      <c r="A2" cm="1">
        <f t="array" ref="A2">gradeGenericQuestionRange("Text",  A4:A5,C1,Question4!A5:A6)</f>
        <v>10</v>
      </c>
      <c r="G2" s="90"/>
      <c r="H2" s="90"/>
    </row>
    <row r="3" spans="1:8" x14ac:dyDescent="0.25">
      <c r="G3" s="90"/>
      <c r="H3" s="90" t="s">
        <v>366</v>
      </c>
    </row>
    <row r="4" spans="1:8" x14ac:dyDescent="0.25">
      <c r="A4" t="s">
        <v>371</v>
      </c>
      <c r="B4" s="102"/>
      <c r="D4" s="93"/>
      <c r="G4" s="90"/>
      <c r="H4" s="94" t="s">
        <v>367</v>
      </c>
    </row>
    <row r="5" spans="1:8" x14ac:dyDescent="0.25">
      <c r="A5">
        <v>630</v>
      </c>
      <c r="B5" s="92"/>
      <c r="C5" s="102"/>
      <c r="D5" s="106"/>
      <c r="G5" s="94"/>
      <c r="H5" s="90" t="s">
        <v>368</v>
      </c>
    </row>
    <row r="6" spans="1:8" x14ac:dyDescent="0.25">
      <c r="B6" s="92"/>
      <c r="C6" s="102"/>
      <c r="D6" s="106"/>
      <c r="G6" s="90"/>
      <c r="H6" s="90" t="s">
        <v>369</v>
      </c>
    </row>
    <row r="7" spans="1:8" x14ac:dyDescent="0.25">
      <c r="B7" s="92"/>
      <c r="C7" s="102"/>
      <c r="D7" s="106"/>
      <c r="G7" s="90"/>
      <c r="H7" s="90" t="s">
        <v>370</v>
      </c>
    </row>
    <row r="8" spans="1:8" x14ac:dyDescent="0.25">
      <c r="B8" s="92"/>
      <c r="C8" s="93"/>
      <c r="D8" s="106"/>
      <c r="G8" s="90"/>
      <c r="H8" s="90"/>
    </row>
    <row r="9" spans="1:8" x14ac:dyDescent="0.25">
      <c r="B9" s="92"/>
      <c r="C9" s="93"/>
      <c r="D9" s="106"/>
      <c r="H9" s="90"/>
    </row>
    <row r="10" spans="1:8" x14ac:dyDescent="0.25">
      <c r="B10" s="92"/>
      <c r="C10" s="93"/>
      <c r="D10" s="106"/>
      <c r="H10" s="94"/>
    </row>
    <row r="11" spans="1:8" x14ac:dyDescent="0.25">
      <c r="B11" s="92"/>
      <c r="C11" s="93"/>
      <c r="D11" s="106"/>
      <c r="H11" s="90"/>
    </row>
    <row r="12" spans="1:8" x14ac:dyDescent="0.25">
      <c r="B12" s="92"/>
      <c r="C12" s="93"/>
      <c r="D12" s="106"/>
      <c r="H12" s="94"/>
    </row>
    <row r="13" spans="1:8" x14ac:dyDescent="0.25">
      <c r="B13" s="92"/>
      <c r="C13" s="93"/>
      <c r="D13" s="106"/>
      <c r="H13" s="90"/>
    </row>
    <row r="14" spans="1:8" x14ac:dyDescent="0.25">
      <c r="B14" s="92"/>
      <c r="C14" s="93"/>
      <c r="D14" s="106"/>
      <c r="H14" s="90"/>
    </row>
    <row r="15" spans="1:8" x14ac:dyDescent="0.25">
      <c r="B15" s="92"/>
      <c r="D15" s="7"/>
    </row>
    <row r="16" spans="1:8" x14ac:dyDescent="0.25">
      <c r="B16" s="92"/>
      <c r="D16" s="7"/>
    </row>
    <row r="17" spans="2:4" x14ac:dyDescent="0.25">
      <c r="B17" s="92"/>
      <c r="D17" s="7"/>
    </row>
    <row r="18" spans="2:4" x14ac:dyDescent="0.25">
      <c r="B18" s="92"/>
      <c r="D18" s="7"/>
    </row>
    <row r="19" spans="2:4" x14ac:dyDescent="0.25">
      <c r="B19" s="92"/>
      <c r="D19" s="7"/>
    </row>
    <row r="20" spans="2:4" x14ac:dyDescent="0.25">
      <c r="B20" s="92"/>
      <c r="D20" s="7"/>
    </row>
    <row r="21" spans="2:4" x14ac:dyDescent="0.25">
      <c r="B21" s="92"/>
      <c r="D21" s="7"/>
    </row>
    <row r="22" spans="2:4" x14ac:dyDescent="0.25">
      <c r="B22" s="92"/>
      <c r="D22" s="7"/>
    </row>
    <row r="23" spans="2:4" x14ac:dyDescent="0.25">
      <c r="B23" s="93"/>
      <c r="D23" s="7"/>
    </row>
    <row r="24" spans="2:4" x14ac:dyDescent="0.25">
      <c r="B24" s="93"/>
      <c r="D24" s="7"/>
    </row>
    <row r="25" spans="2:4" x14ac:dyDescent="0.25">
      <c r="B25" s="93"/>
      <c r="D25" s="7"/>
    </row>
    <row r="26" spans="2:4" x14ac:dyDescent="0.25">
      <c r="B26" s="93"/>
      <c r="D26" s="7"/>
    </row>
    <row r="27" spans="2:4" x14ac:dyDescent="0.25">
      <c r="B27" s="93"/>
      <c r="D27" s="7"/>
    </row>
    <row r="28" spans="2:4" x14ac:dyDescent="0.25">
      <c r="D28" s="93"/>
    </row>
    <row r="29" spans="2:4" x14ac:dyDescent="0.25">
      <c r="D29" s="93"/>
    </row>
    <row r="30" spans="2:4" x14ac:dyDescent="0.25">
      <c r="D30" s="93"/>
    </row>
    <row r="31" spans="2:4" x14ac:dyDescent="0.25">
      <c r="D31" s="93"/>
    </row>
    <row r="32" spans="2: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sheetData>
  <sheetProtection algorithmName="SHA-512" hashValue="5wGzTZtGbjlKHhJXR/akaUp4pBWSZngsGINsSAfGEMfWfPCLN+EHpE86VmOsyMhfxCYJhWAuG1gysl3u7uIXSw==" saltValue="EZlrU3hPAwEFFQJ84eRkkw==" spinCount="100000"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A091-6F98-49AD-A4DD-2C5449726F41}">
  <sheetPr codeName="Sheet15"/>
  <dimension ref="A1:N37"/>
  <sheetViews>
    <sheetView workbookViewId="0">
      <selection activeCell="G13" sqref="G13"/>
    </sheetView>
  </sheetViews>
  <sheetFormatPr defaultRowHeight="15" x14ac:dyDescent="0.25"/>
  <cols>
    <col min="1" max="1" width="38.85546875" customWidth="1"/>
    <col min="2" max="2" width="15.28515625" customWidth="1"/>
    <col min="4" max="4" width="11.42578125" customWidth="1"/>
    <col min="7" max="7" width="16.7109375" customWidth="1"/>
    <col min="8" max="8" width="40.140625" customWidth="1"/>
    <col min="9" max="9" width="33" customWidth="1"/>
  </cols>
  <sheetData>
    <row r="1" spans="1:14" ht="103.15" customHeight="1" x14ac:dyDescent="0.25">
      <c r="A1" s="87" t="s">
        <v>179</v>
      </c>
      <c r="D1" t="s">
        <v>166</v>
      </c>
      <c r="G1" t="s">
        <v>201</v>
      </c>
      <c r="H1" s="126" t="s">
        <v>48</v>
      </c>
    </row>
    <row r="2" spans="1:14" ht="130.9" customHeight="1" x14ac:dyDescent="0.25">
      <c r="A2" s="149" t="s">
        <v>203</v>
      </c>
      <c r="B2" s="150"/>
      <c r="C2" s="150"/>
      <c r="D2" s="150"/>
    </row>
    <row r="3" spans="1:14" ht="15.75" x14ac:dyDescent="0.25">
      <c r="A3" s="89" t="s">
        <v>169</v>
      </c>
      <c r="F3" t="s">
        <v>170</v>
      </c>
      <c r="N3" s="134" t="s">
        <v>417</v>
      </c>
    </row>
    <row r="4" spans="1:14" x14ac:dyDescent="0.25">
      <c r="N4" s="134" t="s">
        <v>385</v>
      </c>
    </row>
    <row r="5" spans="1:14" ht="18.75" x14ac:dyDescent="0.3">
      <c r="A5" s="123" t="s">
        <v>178</v>
      </c>
      <c r="B5" s="128" t="s">
        <v>204</v>
      </c>
      <c r="C5" s="86" t="s">
        <v>427</v>
      </c>
      <c r="D5" t="s">
        <v>206</v>
      </c>
      <c r="N5" s="134" t="s">
        <v>418</v>
      </c>
    </row>
    <row r="6" spans="1:14" ht="18.75" x14ac:dyDescent="0.3">
      <c r="A6" s="123" t="s">
        <v>207</v>
      </c>
      <c r="B6" s="128">
        <v>5726.4839940000002</v>
      </c>
      <c r="C6" s="122">
        <v>682</v>
      </c>
      <c r="D6">
        <v>2.5600000000000001E-2</v>
      </c>
      <c r="N6" s="134" t="s">
        <v>419</v>
      </c>
    </row>
    <row r="7" spans="1:14" ht="18.75" x14ac:dyDescent="0.3">
      <c r="A7" s="123" t="s">
        <v>208</v>
      </c>
      <c r="B7" s="127">
        <v>5503.1698779999997</v>
      </c>
      <c r="C7" s="92">
        <v>634</v>
      </c>
      <c r="D7">
        <v>2.7699999999999999E-2</v>
      </c>
      <c r="N7" s="134" t="s">
        <v>420</v>
      </c>
    </row>
    <row r="8" spans="1:14" ht="18.75" x14ac:dyDescent="0.3">
      <c r="A8" s="124" t="s">
        <v>209</v>
      </c>
      <c r="B8" s="127">
        <v>5644.0180899999996</v>
      </c>
      <c r="C8" s="92">
        <v>678</v>
      </c>
      <c r="D8">
        <v>2.0400000000000001E-2</v>
      </c>
      <c r="N8" s="134" t="s">
        <v>421</v>
      </c>
    </row>
    <row r="9" spans="1:14" ht="18.75" x14ac:dyDescent="0.3">
      <c r="A9" s="123" t="s">
        <v>210</v>
      </c>
      <c r="B9" s="127">
        <v>5079.3252270000003</v>
      </c>
      <c r="C9" s="92">
        <v>616</v>
      </c>
      <c r="D9">
        <v>2.8799999999999999E-2</v>
      </c>
      <c r="N9" s="134" t="s">
        <v>422</v>
      </c>
    </row>
    <row r="10" spans="1:14" ht="18.75" x14ac:dyDescent="0.3">
      <c r="A10" s="123" t="s">
        <v>211</v>
      </c>
      <c r="B10" s="127">
        <v>5360.4510380000002</v>
      </c>
      <c r="C10" s="92">
        <v>642</v>
      </c>
      <c r="D10">
        <v>2.75E-2</v>
      </c>
      <c r="N10" s="134" t="s">
        <v>423</v>
      </c>
    </row>
    <row r="11" spans="1:14" ht="18.75" x14ac:dyDescent="0.3">
      <c r="A11" s="123" t="s">
        <v>212</v>
      </c>
      <c r="B11" s="127">
        <v>5368.7549779999999</v>
      </c>
      <c r="C11" s="92">
        <v>593</v>
      </c>
      <c r="D11">
        <v>2.5399999999999999E-2</v>
      </c>
      <c r="N11" s="134" t="s">
        <v>424</v>
      </c>
    </row>
    <row r="12" spans="1:14" ht="18.75" x14ac:dyDescent="0.3">
      <c r="A12" s="124" t="s">
        <v>213</v>
      </c>
      <c r="B12" s="127">
        <v>5224.0787979999996</v>
      </c>
      <c r="C12" s="92">
        <v>601</v>
      </c>
      <c r="D12">
        <v>2.87E-2</v>
      </c>
    </row>
    <row r="13" spans="1:14" ht="18.75" x14ac:dyDescent="0.3">
      <c r="A13" s="123" t="s">
        <v>214</v>
      </c>
      <c r="B13" s="127">
        <v>4998.3186320000004</v>
      </c>
      <c r="C13" s="92">
        <v>505</v>
      </c>
      <c r="D13">
        <v>2.4E-2</v>
      </c>
    </row>
    <row r="14" spans="1:14" ht="18.75" x14ac:dyDescent="0.3">
      <c r="A14" s="124" t="s">
        <v>215</v>
      </c>
      <c r="B14" s="127">
        <v>3514.8504790000002</v>
      </c>
      <c r="C14" s="92">
        <v>2977</v>
      </c>
      <c r="D14">
        <v>2.0000000000000001E-4</v>
      </c>
    </row>
    <row r="15" spans="1:14" ht="18.75" x14ac:dyDescent="0.3">
      <c r="A15" s="123" t="s">
        <v>216</v>
      </c>
      <c r="B15" s="127">
        <v>3406.537605</v>
      </c>
      <c r="C15" s="92">
        <v>2664</v>
      </c>
      <c r="D15">
        <v>2.0000000000000001E-4</v>
      </c>
    </row>
    <row r="16" spans="1:14" ht="18.75" x14ac:dyDescent="0.3">
      <c r="A16" s="123" t="s">
        <v>217</v>
      </c>
      <c r="B16" s="127">
        <v>3125.281602</v>
      </c>
      <c r="C16" s="92">
        <v>2111</v>
      </c>
      <c r="D16">
        <v>0</v>
      </c>
    </row>
    <row r="17" spans="1:4" ht="18.75" x14ac:dyDescent="0.3">
      <c r="A17" s="127" t="s">
        <v>218</v>
      </c>
      <c r="B17" s="127">
        <v>3376.3053239999999</v>
      </c>
      <c r="C17" s="92">
        <v>2394</v>
      </c>
      <c r="D17">
        <v>1E-4</v>
      </c>
    </row>
    <row r="18" spans="1:4" ht="18.75" x14ac:dyDescent="0.3">
      <c r="A18" s="127" t="s">
        <v>219</v>
      </c>
      <c r="B18" s="127">
        <v>3306.2296729999998</v>
      </c>
      <c r="C18" s="92">
        <v>2234</v>
      </c>
      <c r="D18">
        <v>1E-4</v>
      </c>
    </row>
    <row r="19" spans="1:4" ht="18.75" x14ac:dyDescent="0.3">
      <c r="A19" s="127" t="s">
        <v>220</v>
      </c>
      <c r="B19" s="127">
        <v>3258.3082939999999</v>
      </c>
      <c r="C19" s="92">
        <v>2216</v>
      </c>
      <c r="D19">
        <v>1E-4</v>
      </c>
    </row>
    <row r="20" spans="1:4" ht="18.75" x14ac:dyDescent="0.3">
      <c r="A20" s="127" t="s">
        <v>221</v>
      </c>
      <c r="B20" s="127">
        <v>2011.2594859999999</v>
      </c>
      <c r="C20" s="92">
        <v>684</v>
      </c>
      <c r="D20">
        <v>1E-4</v>
      </c>
    </row>
    <row r="21" spans="1:4" ht="18.75" x14ac:dyDescent="0.3">
      <c r="A21" s="127" t="s">
        <v>222</v>
      </c>
      <c r="B21" s="127">
        <v>2249.5465239999999</v>
      </c>
      <c r="C21" s="92">
        <v>776</v>
      </c>
      <c r="D21">
        <v>2.0000000000000001E-4</v>
      </c>
    </row>
    <row r="22" spans="1:4" ht="18.75" x14ac:dyDescent="0.3">
      <c r="A22" s="127" t="s">
        <v>223</v>
      </c>
      <c r="B22" s="127">
        <v>2123.0329729999999</v>
      </c>
      <c r="C22" s="92">
        <v>747</v>
      </c>
      <c r="D22">
        <v>0</v>
      </c>
    </row>
    <row r="23" spans="1:4" ht="18.75" x14ac:dyDescent="0.3">
      <c r="A23" s="127" t="s">
        <v>224</v>
      </c>
      <c r="B23" s="127">
        <v>2148.3044839999998</v>
      </c>
      <c r="C23" s="92">
        <v>740</v>
      </c>
      <c r="D23">
        <v>0</v>
      </c>
    </row>
    <row r="24" spans="1:4" x14ac:dyDescent="0.25">
      <c r="A24" t="s">
        <v>225</v>
      </c>
      <c r="B24">
        <v>955.62750100000005</v>
      </c>
      <c r="C24" s="92">
        <v>425</v>
      </c>
      <c r="D24">
        <v>0</v>
      </c>
    </row>
    <row r="25" spans="1:4" x14ac:dyDescent="0.25">
      <c r="A25" t="s">
        <v>226</v>
      </c>
      <c r="B25">
        <v>1075.4279750000001</v>
      </c>
      <c r="C25" s="92">
        <v>617</v>
      </c>
      <c r="D25">
        <v>1E-4</v>
      </c>
    </row>
    <row r="26" spans="1:4" x14ac:dyDescent="0.25">
      <c r="A26" t="s">
        <v>227</v>
      </c>
      <c r="B26">
        <v>941.37607700000001</v>
      </c>
      <c r="C26" s="92">
        <v>385</v>
      </c>
      <c r="D26">
        <v>0</v>
      </c>
    </row>
    <row r="27" spans="1:4" x14ac:dyDescent="0.25">
      <c r="A27" t="s">
        <v>228</v>
      </c>
      <c r="B27">
        <v>951.24546899999996</v>
      </c>
      <c r="C27" s="92">
        <v>401</v>
      </c>
      <c r="D27">
        <v>0</v>
      </c>
    </row>
    <row r="28" spans="1:4" x14ac:dyDescent="0.25">
      <c r="A28" t="s">
        <v>229</v>
      </c>
      <c r="B28">
        <v>678.22744</v>
      </c>
      <c r="C28" s="92">
        <v>282</v>
      </c>
      <c r="D28">
        <v>0</v>
      </c>
    </row>
    <row r="29" spans="1:4" x14ac:dyDescent="0.25">
      <c r="A29" t="s">
        <v>230</v>
      </c>
      <c r="B29">
        <v>698.94090200000005</v>
      </c>
      <c r="C29" s="92">
        <v>388</v>
      </c>
      <c r="D29">
        <v>0</v>
      </c>
    </row>
    <row r="30" spans="1:4" x14ac:dyDescent="0.25">
      <c r="A30" t="s">
        <v>231</v>
      </c>
      <c r="B30">
        <v>652.46460100000002</v>
      </c>
      <c r="C30" s="92">
        <v>350</v>
      </c>
      <c r="D30">
        <v>0</v>
      </c>
    </row>
    <row r="31" spans="1:4" x14ac:dyDescent="0.25">
      <c r="A31" t="s">
        <v>232</v>
      </c>
      <c r="B31">
        <v>679.17707700000005</v>
      </c>
      <c r="C31" s="92">
        <v>449</v>
      </c>
      <c r="D31">
        <v>0</v>
      </c>
    </row>
    <row r="32" spans="1:4" x14ac:dyDescent="0.25">
      <c r="A32" t="s">
        <v>233</v>
      </c>
      <c r="B32">
        <v>664.26167099999998</v>
      </c>
      <c r="C32" s="92">
        <v>272</v>
      </c>
      <c r="D32">
        <v>0</v>
      </c>
    </row>
    <row r="33" spans="1:4" x14ac:dyDescent="0.25">
      <c r="A33" t="s">
        <v>234</v>
      </c>
      <c r="B33">
        <v>656.51326600000004</v>
      </c>
      <c r="C33" s="92">
        <v>450</v>
      </c>
      <c r="D33">
        <v>5.6099999999999997E-2</v>
      </c>
    </row>
    <row r="34" spans="1:4" x14ac:dyDescent="0.25">
      <c r="A34" t="s">
        <v>235</v>
      </c>
      <c r="B34">
        <v>639.64026200000001</v>
      </c>
      <c r="C34" s="92">
        <v>455</v>
      </c>
      <c r="D34">
        <v>6.6900000000000001E-2</v>
      </c>
    </row>
    <row r="35" spans="1:4" x14ac:dyDescent="0.25">
      <c r="A35" t="s">
        <v>236</v>
      </c>
      <c r="B35">
        <v>628.26887999999997</v>
      </c>
      <c r="C35" s="92">
        <v>381</v>
      </c>
      <c r="D35">
        <v>5.5300000000000002E-2</v>
      </c>
    </row>
    <row r="36" spans="1:4" x14ac:dyDescent="0.25">
      <c r="A36" t="s">
        <v>237</v>
      </c>
      <c r="B36">
        <v>626.74241500000005</v>
      </c>
      <c r="C36" s="92">
        <v>457</v>
      </c>
      <c r="D36">
        <v>6.3100000000000003E-2</v>
      </c>
    </row>
    <row r="37" spans="1:4" x14ac:dyDescent="0.25">
      <c r="A37" t="s">
        <v>238</v>
      </c>
      <c r="B37">
        <v>683.44637699999998</v>
      </c>
      <c r="C37" s="92">
        <v>515</v>
      </c>
      <c r="D37">
        <v>6.4399999999999999E-2</v>
      </c>
    </row>
  </sheetData>
  <sheetProtection algorithmName="SHA-512" hashValue="aXhzpsqhhn+y+C/4M5A7A5i99i/awhbs2vAPhDVglfHqI3UlCKzk9qDPo/mbDJw53ndGc7BHFJ0s2LexCRusCA==" saltValue="n6baSb2Za5vyx2i1B3EvFQ==" spinCount="100000" sheet="1" objects="1" scenarios="1"/>
  <mergeCells count="1">
    <mergeCell ref="A2:D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67C1-D2B3-4BED-AFCC-585C17D43B76}">
  <sheetPr codeName="Sheet16"/>
  <dimension ref="A1:G36"/>
  <sheetViews>
    <sheetView workbookViewId="0">
      <selection activeCell="C4" sqref="C4"/>
    </sheetView>
  </sheetViews>
  <sheetFormatPr defaultRowHeight="15" x14ac:dyDescent="0.25"/>
  <cols>
    <col min="1" max="1" width="39.140625" customWidth="1"/>
    <col min="2" max="2" width="10" customWidth="1"/>
    <col min="5" max="5" width="30.28515625" customWidth="1"/>
  </cols>
  <sheetData>
    <row r="1" spans="1:7" ht="18.75" x14ac:dyDescent="0.3">
      <c r="A1" t="s">
        <v>179</v>
      </c>
      <c r="C1">
        <v>10</v>
      </c>
      <c r="F1" s="90" t="s">
        <v>262</v>
      </c>
      <c r="G1" s="127"/>
    </row>
    <row r="2" spans="1:7" ht="18.75" x14ac:dyDescent="0.3">
      <c r="A2" cm="1">
        <f t="array" ref="A2">gradeGenericQuestionRange("Text", A4:D36,C1,Question5!A5:D37)</f>
        <v>7.499995231628418</v>
      </c>
      <c r="E2" s="90"/>
      <c r="F2" s="130" t="s">
        <v>263</v>
      </c>
      <c r="G2" s="127"/>
    </row>
    <row r="3" spans="1:7" ht="18.75" x14ac:dyDescent="0.3">
      <c r="E3" s="90"/>
      <c r="F3" s="90" t="s">
        <v>181</v>
      </c>
      <c r="G3" s="127"/>
    </row>
    <row r="4" spans="1:7" ht="18.75" x14ac:dyDescent="0.3">
      <c r="A4" s="123" t="s">
        <v>178</v>
      </c>
      <c r="B4" s="128" t="s">
        <v>204</v>
      </c>
      <c r="C4" s="86" t="s">
        <v>205</v>
      </c>
      <c r="D4" t="s">
        <v>206</v>
      </c>
      <c r="E4" s="90"/>
      <c r="F4" s="90" t="s">
        <v>182</v>
      </c>
      <c r="G4" s="127"/>
    </row>
    <row r="5" spans="1:7" ht="18.75" x14ac:dyDescent="0.3">
      <c r="A5" s="123" t="s">
        <v>207</v>
      </c>
      <c r="B5" s="128">
        <v>5820.8224</v>
      </c>
      <c r="C5" s="122">
        <v>682</v>
      </c>
      <c r="D5">
        <v>2.5600000000000001E-2</v>
      </c>
      <c r="F5" s="94" t="s">
        <v>183</v>
      </c>
      <c r="G5" s="127"/>
    </row>
    <row r="6" spans="1:7" ht="18.75" x14ac:dyDescent="0.3">
      <c r="A6" s="123" t="s">
        <v>208</v>
      </c>
      <c r="B6" s="127">
        <v>5582.9161999999997</v>
      </c>
      <c r="C6" s="92">
        <v>634</v>
      </c>
      <c r="D6">
        <v>2.7699999999999999E-2</v>
      </c>
      <c r="F6" s="90" t="s">
        <v>184</v>
      </c>
      <c r="G6" s="127"/>
    </row>
    <row r="7" spans="1:7" ht="18.75" x14ac:dyDescent="0.3">
      <c r="A7" s="124" t="s">
        <v>209</v>
      </c>
      <c r="B7" s="127">
        <v>5718.4957000000004</v>
      </c>
      <c r="C7" s="92">
        <v>678</v>
      </c>
      <c r="D7">
        <v>2.0400000000000001E-2</v>
      </c>
      <c r="F7" s="94" t="s">
        <v>185</v>
      </c>
      <c r="G7" s="127"/>
    </row>
    <row r="8" spans="1:7" ht="18.75" x14ac:dyDescent="0.3">
      <c r="A8" s="123" t="s">
        <v>210</v>
      </c>
      <c r="B8" s="127">
        <v>5153.4281000000001</v>
      </c>
      <c r="C8" s="92">
        <v>616</v>
      </c>
      <c r="D8">
        <v>2.8799999999999999E-2</v>
      </c>
      <c r="F8" s="90" t="s">
        <v>264</v>
      </c>
      <c r="G8" s="127"/>
    </row>
    <row r="9" spans="1:7" ht="18.75" x14ac:dyDescent="0.3">
      <c r="A9" s="123" t="s">
        <v>211</v>
      </c>
      <c r="B9" s="127">
        <v>5440.6616999999997</v>
      </c>
      <c r="C9" s="92">
        <v>642</v>
      </c>
      <c r="D9">
        <v>2.75E-2</v>
      </c>
      <c r="F9" s="90" t="s">
        <v>265</v>
      </c>
      <c r="G9" s="127"/>
    </row>
    <row r="10" spans="1:7" ht="18.75" x14ac:dyDescent="0.3">
      <c r="A10" s="123" t="s">
        <v>212</v>
      </c>
      <c r="B10" s="127">
        <v>5442.5739000000003</v>
      </c>
      <c r="C10" s="92">
        <v>593</v>
      </c>
      <c r="D10">
        <v>2.5399999999999999E-2</v>
      </c>
      <c r="F10" s="90" t="s">
        <v>266</v>
      </c>
    </row>
    <row r="11" spans="1:7" ht="18.75" x14ac:dyDescent="0.3">
      <c r="A11" s="124" t="s">
        <v>213</v>
      </c>
      <c r="B11" s="127">
        <v>5290.6767</v>
      </c>
      <c r="C11" s="92">
        <v>601</v>
      </c>
      <c r="D11">
        <v>2.87E-2</v>
      </c>
    </row>
    <row r="12" spans="1:7" ht="18.75" x14ac:dyDescent="0.3">
      <c r="A12" s="123" t="s">
        <v>214</v>
      </c>
      <c r="B12" s="127">
        <v>5056.6277</v>
      </c>
      <c r="C12" s="92">
        <v>505</v>
      </c>
      <c r="D12">
        <v>2.4E-2</v>
      </c>
    </row>
    <row r="13" spans="1:7" ht="18.75" x14ac:dyDescent="0.3">
      <c r="A13" s="124" t="s">
        <v>215</v>
      </c>
      <c r="B13" s="127">
        <v>3519.2899000000002</v>
      </c>
      <c r="C13" s="92">
        <v>2977</v>
      </c>
      <c r="D13">
        <v>2.0000000000000001E-4</v>
      </c>
    </row>
    <row r="14" spans="1:7" ht="18.75" x14ac:dyDescent="0.3">
      <c r="A14" s="123" t="s">
        <v>216</v>
      </c>
      <c r="B14" s="127">
        <v>3410.4227000000001</v>
      </c>
      <c r="C14" s="92">
        <v>2664</v>
      </c>
      <c r="D14">
        <v>2.0000000000000001E-4</v>
      </c>
    </row>
    <row r="15" spans="1:7" ht="18.75" x14ac:dyDescent="0.3">
      <c r="A15" s="123" t="s">
        <v>217</v>
      </c>
      <c r="B15" s="127">
        <v>3126.6273000000001</v>
      </c>
      <c r="C15" s="92">
        <v>2111</v>
      </c>
      <c r="D15">
        <v>0</v>
      </c>
    </row>
    <row r="16" spans="1:7" ht="18.75" x14ac:dyDescent="0.3">
      <c r="A16" s="127" t="s">
        <v>218</v>
      </c>
      <c r="B16" s="127">
        <v>3378.8721999999998</v>
      </c>
      <c r="C16" s="92">
        <v>2394</v>
      </c>
      <c r="D16">
        <v>1E-4</v>
      </c>
    </row>
    <row r="17" spans="1:4" ht="18.75" x14ac:dyDescent="0.3">
      <c r="A17" s="127" t="s">
        <v>219</v>
      </c>
      <c r="B17" s="127">
        <v>3308.9349000000002</v>
      </c>
      <c r="C17" s="92">
        <v>2234</v>
      </c>
      <c r="D17">
        <v>1E-4</v>
      </c>
    </row>
    <row r="18" spans="1:4" ht="18.75" x14ac:dyDescent="0.3">
      <c r="A18" s="127" t="s">
        <v>220</v>
      </c>
      <c r="B18" s="127">
        <v>3260.0479999999998</v>
      </c>
      <c r="C18" s="92">
        <v>2216</v>
      </c>
      <c r="D18">
        <v>1E-4</v>
      </c>
    </row>
    <row r="19" spans="1:4" ht="18.75" x14ac:dyDescent="0.3">
      <c r="A19" s="127" t="s">
        <v>221</v>
      </c>
      <c r="B19" s="127">
        <v>2012.5119999999999</v>
      </c>
      <c r="C19" s="92">
        <v>684</v>
      </c>
      <c r="D19">
        <v>1E-4</v>
      </c>
    </row>
    <row r="20" spans="1:4" ht="18.75" x14ac:dyDescent="0.3">
      <c r="A20" s="127" t="s">
        <v>222</v>
      </c>
      <c r="B20" s="127">
        <v>2251.5124999999998</v>
      </c>
      <c r="C20" s="92">
        <v>776</v>
      </c>
      <c r="D20">
        <v>2.0000000000000001E-4</v>
      </c>
    </row>
    <row r="21" spans="1:4" ht="18.75" x14ac:dyDescent="0.3">
      <c r="A21" s="127" t="s">
        <v>223</v>
      </c>
      <c r="B21" s="127">
        <v>2123.0329000000002</v>
      </c>
      <c r="C21" s="92">
        <v>747</v>
      </c>
      <c r="D21">
        <v>0</v>
      </c>
    </row>
    <row r="22" spans="1:4" ht="18.75" x14ac:dyDescent="0.3">
      <c r="A22" s="127" t="s">
        <v>224</v>
      </c>
      <c r="B22" s="127">
        <v>2149.0347000000002</v>
      </c>
      <c r="C22" s="92">
        <v>740</v>
      </c>
      <c r="D22">
        <v>0</v>
      </c>
    </row>
    <row r="23" spans="1:4" x14ac:dyDescent="0.25">
      <c r="A23" t="s">
        <v>225</v>
      </c>
      <c r="B23">
        <v>955.62750000000005</v>
      </c>
      <c r="C23" s="92">
        <v>425</v>
      </c>
      <c r="D23">
        <v>0</v>
      </c>
    </row>
    <row r="24" spans="1:4" x14ac:dyDescent="0.25">
      <c r="A24" t="s">
        <v>226</v>
      </c>
      <c r="B24">
        <v>1076.1098999999999</v>
      </c>
      <c r="C24" s="92">
        <v>617</v>
      </c>
      <c r="D24">
        <v>1E-4</v>
      </c>
    </row>
    <row r="25" spans="1:4" x14ac:dyDescent="0.25">
      <c r="A25" t="s">
        <v>227</v>
      </c>
      <c r="B25">
        <v>941.37599999999998</v>
      </c>
      <c r="C25" s="92">
        <v>385</v>
      </c>
      <c r="D25">
        <v>0</v>
      </c>
    </row>
    <row r="26" spans="1:4" x14ac:dyDescent="0.25">
      <c r="A26" t="s">
        <v>228</v>
      </c>
      <c r="B26">
        <v>951.65620000000001</v>
      </c>
      <c r="C26" s="92">
        <v>401</v>
      </c>
      <c r="D26">
        <v>0</v>
      </c>
    </row>
    <row r="27" spans="1:4" x14ac:dyDescent="0.25">
      <c r="A27" t="s">
        <v>229</v>
      </c>
      <c r="B27">
        <v>678.22739999999999</v>
      </c>
      <c r="C27" s="92">
        <v>282</v>
      </c>
      <c r="D27">
        <v>0</v>
      </c>
    </row>
    <row r="28" spans="1:4" x14ac:dyDescent="0.25">
      <c r="A28" t="s">
        <v>230</v>
      </c>
      <c r="B28">
        <v>698.94090000000006</v>
      </c>
      <c r="C28" s="92">
        <v>388</v>
      </c>
      <c r="D28">
        <v>0</v>
      </c>
    </row>
    <row r="29" spans="1:4" x14ac:dyDescent="0.25">
      <c r="A29" t="s">
        <v>231</v>
      </c>
      <c r="B29">
        <v>652.46460000000002</v>
      </c>
      <c r="C29" s="92">
        <v>350</v>
      </c>
      <c r="D29">
        <v>0</v>
      </c>
    </row>
    <row r="30" spans="1:4" x14ac:dyDescent="0.25">
      <c r="A30" t="s">
        <v>232</v>
      </c>
      <c r="B30">
        <v>679.17700000000002</v>
      </c>
      <c r="C30" s="92">
        <v>449</v>
      </c>
      <c r="D30">
        <v>0</v>
      </c>
    </row>
    <row r="31" spans="1:4" x14ac:dyDescent="0.25">
      <c r="A31" t="s">
        <v>233</v>
      </c>
      <c r="B31">
        <v>664.26160000000004</v>
      </c>
      <c r="C31" s="92">
        <v>272</v>
      </c>
      <c r="D31">
        <v>0</v>
      </c>
    </row>
    <row r="32" spans="1:4" x14ac:dyDescent="0.25">
      <c r="A32" t="s">
        <v>234</v>
      </c>
      <c r="B32">
        <v>669.75099999999998</v>
      </c>
      <c r="C32" s="92">
        <v>450</v>
      </c>
      <c r="D32">
        <v>5.6099999999999997E-2</v>
      </c>
    </row>
    <row r="33" spans="1:4" x14ac:dyDescent="0.25">
      <c r="A33" t="s">
        <v>235</v>
      </c>
      <c r="B33">
        <v>656.95759999999996</v>
      </c>
      <c r="C33" s="92">
        <v>455</v>
      </c>
      <c r="D33">
        <v>6.6900000000000001E-2</v>
      </c>
    </row>
    <row r="34" spans="1:4" x14ac:dyDescent="0.25">
      <c r="A34" t="s">
        <v>236</v>
      </c>
      <c r="B34">
        <v>641.42550000000006</v>
      </c>
      <c r="C34" s="92">
        <v>381</v>
      </c>
      <c r="D34">
        <v>5.5300000000000002E-2</v>
      </c>
    </row>
    <row r="35" spans="1:4" x14ac:dyDescent="0.25">
      <c r="A35" t="s">
        <v>237</v>
      </c>
      <c r="B35">
        <v>643.72799999999995</v>
      </c>
      <c r="C35" s="92">
        <v>457</v>
      </c>
      <c r="D35">
        <v>6.3100000000000003E-2</v>
      </c>
    </row>
    <row r="36" spans="1:4" x14ac:dyDescent="0.25">
      <c r="A36" t="s">
        <v>238</v>
      </c>
      <c r="B36">
        <v>700.42740000000003</v>
      </c>
      <c r="C36" s="92">
        <v>515</v>
      </c>
      <c r="D36">
        <v>6.4399999999999999E-2</v>
      </c>
    </row>
  </sheetData>
  <sheetProtection algorithmName="SHA-512" hashValue="oe6uoV5KGGT7LHBiYulMCFIsBfEDJELp1HmJIDgCY73ASEa5FI6rM6KZwpWNMnC7JZiBDmBxHdfXb1vk2zqBIw==" saltValue="yyJ7tJ/yLUpQrHrj8tTkcg==" spinCount="100000" sheet="1" objects="1" scenario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C10" sqref="C10"/>
    </sheetView>
  </sheetViews>
  <sheetFormatPr defaultRowHeight="15" x14ac:dyDescent="0.25"/>
  <cols>
    <col min="2" max="2" width="22.28515625" customWidth="1"/>
    <col min="4" max="4" width="27.42578125" customWidth="1"/>
  </cols>
  <sheetData>
    <row r="1" spans="2:4" x14ac:dyDescent="0.25">
      <c r="B1" s="5" t="s">
        <v>58</v>
      </c>
      <c r="C1" s="5" t="s">
        <v>59</v>
      </c>
      <c r="D1" s="5" t="s">
        <v>60</v>
      </c>
    </row>
    <row r="2" spans="2:4" x14ac:dyDescent="0.25">
      <c r="B2" t="s">
        <v>103</v>
      </c>
      <c r="C2" t="s">
        <v>61</v>
      </c>
      <c r="D2" s="6">
        <v>44799.458333333336</v>
      </c>
    </row>
    <row r="3" spans="2:4" x14ac:dyDescent="0.25">
      <c r="B3" t="s">
        <v>104</v>
      </c>
      <c r="C3" t="s">
        <v>61</v>
      </c>
      <c r="D3" s="6">
        <v>44916.715277777781</v>
      </c>
    </row>
    <row r="4" spans="2:4" x14ac:dyDescent="0.25">
      <c r="B4" t="s">
        <v>65</v>
      </c>
      <c r="C4" t="s">
        <v>66</v>
      </c>
      <c r="D4" s="7">
        <v>1115</v>
      </c>
    </row>
    <row r="5" spans="2:4" x14ac:dyDescent="0.25">
      <c r="B5" t="s">
        <v>102</v>
      </c>
      <c r="C5" t="s">
        <v>61</v>
      </c>
      <c r="D5" s="6">
        <v>44565.840277777781</v>
      </c>
    </row>
    <row r="6" spans="2:4" x14ac:dyDescent="0.25">
      <c r="B6" t="s">
        <v>105</v>
      </c>
      <c r="C6" t="s">
        <v>106</v>
      </c>
      <c r="D6" t="b">
        <v>0</v>
      </c>
    </row>
    <row r="7" spans="2:4" x14ac:dyDescent="0.25">
      <c r="B7" t="s">
        <v>167</v>
      </c>
      <c r="D7" t="s">
        <v>174</v>
      </c>
    </row>
  </sheetData>
  <sheetProtection algorithmName="SHA-512" hashValue="LjhEuX44SkaRWpg8URLFG0HjAhEs5h8pEVC2THL22orqgvLLis5XK5NAK1H1r8wJg/qn/l1Y8ifpG3M80nHk/A==" saltValue="dBNcnacilkJD26LS4nN2ZA=="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2:D3 D5" xr:uid="{AA9CA1D9-5BD2-40E6-8C3C-3F5F99DBE202}"/>
  </dataValidations>
  <pageMargins left="0.7" right="0.7" top="0.75" bottom="0.75" header="0.3" footer="0.3"/>
  <pageSetup orientation="portrait" horizontalDpi="90" verticalDpi="9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17"/>
  <sheetViews>
    <sheetView workbookViewId="0">
      <selection activeCell="A2" sqref="A2:F6"/>
    </sheetView>
  </sheetViews>
  <sheetFormatPr defaultRowHeight="15" x14ac:dyDescent="0.25"/>
  <cols>
    <col min="1" max="1" width="22.28515625" bestFit="1" customWidth="1"/>
    <col min="2" max="2" width="30.140625" bestFit="1" customWidth="1"/>
    <col min="4" max="4" width="138" bestFit="1" customWidth="1"/>
  </cols>
  <sheetData>
    <row r="2" spans="1:6" x14ac:dyDescent="0.25">
      <c r="A2" t="s">
        <v>374</v>
      </c>
    </row>
    <row r="3" spans="1:6" x14ac:dyDescent="0.25">
      <c r="A3" t="s">
        <v>379</v>
      </c>
      <c r="B3" t="s">
        <v>378</v>
      </c>
      <c r="D3" t="s">
        <v>378</v>
      </c>
      <c r="E3" t="s">
        <v>380</v>
      </c>
      <c r="F3" s="133">
        <v>44879.583715277775</v>
      </c>
    </row>
    <row r="4" spans="1:6" x14ac:dyDescent="0.25">
      <c r="A4" t="s">
        <v>381</v>
      </c>
      <c r="B4" t="s">
        <v>378</v>
      </c>
      <c r="D4">
        <v>0</v>
      </c>
      <c r="E4" t="s">
        <v>380</v>
      </c>
      <c r="F4" s="133">
        <v>44879.583715277775</v>
      </c>
    </row>
    <row r="5" spans="1:6" x14ac:dyDescent="0.25">
      <c r="A5" t="s">
        <v>383</v>
      </c>
      <c r="B5" t="s">
        <v>378</v>
      </c>
      <c r="D5" t="s">
        <v>382</v>
      </c>
      <c r="E5" t="s">
        <v>380</v>
      </c>
      <c r="F5" s="133">
        <v>44879.58384259259</v>
      </c>
    </row>
    <row r="6" spans="1:6" x14ac:dyDescent="0.25">
      <c r="A6" t="s">
        <v>391</v>
      </c>
      <c r="B6" t="s">
        <v>378</v>
      </c>
      <c r="D6" t="s">
        <v>392</v>
      </c>
      <c r="E6" t="s">
        <v>380</v>
      </c>
      <c r="F6" s="133">
        <v>44879.592523148145</v>
      </c>
    </row>
    <row r="7" spans="1:6" x14ac:dyDescent="0.25">
      <c r="A7" t="s">
        <v>394</v>
      </c>
      <c r="B7" t="s">
        <v>378</v>
      </c>
      <c r="D7" t="s">
        <v>178</v>
      </c>
      <c r="E7" t="s">
        <v>380</v>
      </c>
      <c r="F7" s="133">
        <v>44879.592662037037</v>
      </c>
    </row>
    <row r="8" spans="1:6" x14ac:dyDescent="0.25">
      <c r="A8" t="s">
        <v>403</v>
      </c>
      <c r="B8" t="s">
        <v>378</v>
      </c>
      <c r="D8" t="s">
        <v>404</v>
      </c>
      <c r="E8" t="s">
        <v>380</v>
      </c>
      <c r="F8" s="133">
        <v>44879.597662037035</v>
      </c>
    </row>
    <row r="9" spans="1:6" x14ac:dyDescent="0.25">
      <c r="A9" t="s">
        <v>405</v>
      </c>
      <c r="B9" t="s">
        <v>378</v>
      </c>
      <c r="D9" t="s">
        <v>178</v>
      </c>
      <c r="E9" t="s">
        <v>380</v>
      </c>
      <c r="F9" s="133">
        <v>44879.597731481481</v>
      </c>
    </row>
    <row r="10" spans="1:6" x14ac:dyDescent="0.25">
      <c r="A10" t="s">
        <v>414</v>
      </c>
      <c r="B10" t="s">
        <v>378</v>
      </c>
      <c r="D10" t="s">
        <v>415</v>
      </c>
      <c r="E10" t="s">
        <v>380</v>
      </c>
      <c r="F10" s="133">
        <v>44879.617951388886</v>
      </c>
    </row>
    <row r="11" spans="1:6" x14ac:dyDescent="0.25">
      <c r="A11" t="s">
        <v>416</v>
      </c>
      <c r="B11" t="s">
        <v>378</v>
      </c>
      <c r="D11" t="s">
        <v>371</v>
      </c>
      <c r="E11" t="s">
        <v>380</v>
      </c>
      <c r="F11" s="133">
        <v>44879.618020833332</v>
      </c>
    </row>
    <row r="12" spans="1:6" x14ac:dyDescent="0.25">
      <c r="A12" t="s">
        <v>425</v>
      </c>
      <c r="B12" t="s">
        <v>378</v>
      </c>
      <c r="D12" t="s">
        <v>426</v>
      </c>
      <c r="E12" t="s">
        <v>380</v>
      </c>
      <c r="F12" s="133">
        <v>44879.632847222223</v>
      </c>
    </row>
    <row r="13" spans="1:6" x14ac:dyDescent="0.25">
      <c r="A13" t="s">
        <v>428</v>
      </c>
      <c r="B13" t="s">
        <v>378</v>
      </c>
      <c r="D13" t="s">
        <v>178</v>
      </c>
      <c r="E13" t="s">
        <v>380</v>
      </c>
      <c r="F13" s="133">
        <v>44879.632974537039</v>
      </c>
    </row>
    <row r="14" spans="1:6" x14ac:dyDescent="0.25">
      <c r="A14" t="s">
        <v>438</v>
      </c>
      <c r="B14" t="s">
        <v>378</v>
      </c>
      <c r="D14" t="s">
        <v>439</v>
      </c>
      <c r="E14" t="s">
        <v>380</v>
      </c>
      <c r="F14" s="133">
        <v>44879.636018518519</v>
      </c>
    </row>
    <row r="15" spans="1:6" x14ac:dyDescent="0.25">
      <c r="A15" t="s">
        <v>440</v>
      </c>
      <c r="B15" t="s">
        <v>378</v>
      </c>
      <c r="D15" t="s">
        <v>178</v>
      </c>
      <c r="E15" t="s">
        <v>380</v>
      </c>
      <c r="F15" s="133">
        <v>44879.636157407411</v>
      </c>
    </row>
    <row r="16" spans="1:6" x14ac:dyDescent="0.25">
      <c r="A16" t="s">
        <v>441</v>
      </c>
      <c r="B16" t="s">
        <v>378</v>
      </c>
      <c r="D16" t="b">
        <v>0</v>
      </c>
      <c r="E16" t="s">
        <v>380</v>
      </c>
      <c r="F16" s="133">
        <v>44879.638206018521</v>
      </c>
    </row>
    <row r="17" spans="1:6" x14ac:dyDescent="0.25">
      <c r="A17" t="s">
        <v>442</v>
      </c>
      <c r="B17" t="s">
        <v>378</v>
      </c>
      <c r="D17" t="b">
        <v>0</v>
      </c>
      <c r="E17" t="s">
        <v>380</v>
      </c>
      <c r="F17" s="133">
        <v>44879.640752314815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5A5D-F591-4617-A21F-D9F3F732B81C}">
  <dimension ref="A1"/>
  <sheetViews>
    <sheetView workbookViewId="0"/>
  </sheetViews>
  <sheetFormatPr defaultRowHeight="15" x14ac:dyDescent="0.25"/>
  <sheetData/>
  <sheetProtection algorithmName="SHA-512" hashValue="qtCf/tm0yIzB5ILLmQZ10ZX5oGmQ/VeB5AeNmzUcEIf1rYFJ5IOl+TM4GdbqzidDjo2L7Ar0dqzeXVyqi6oFJw==" saltValue="6g2oTT5doGrD2Nykl0lXK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63</v>
      </c>
      <c r="L1" s="12" t="s">
        <v>54</v>
      </c>
      <c r="M1" s="3" t="s">
        <v>55</v>
      </c>
      <c r="N1" s="3" t="s">
        <v>56</v>
      </c>
    </row>
    <row r="2" spans="1:14" x14ac:dyDescent="0.25">
      <c r="A2" s="1" t="s">
        <v>15</v>
      </c>
      <c r="B2" s="1" t="s">
        <v>16</v>
      </c>
      <c r="C2" s="1" t="s">
        <v>17</v>
      </c>
      <c r="D2" s="2" t="s">
        <v>7</v>
      </c>
      <c r="E2" s="2" t="s">
        <v>111</v>
      </c>
      <c r="F2" s="4" t="s">
        <v>62</v>
      </c>
      <c r="I2" s="3" t="s">
        <v>43</v>
      </c>
      <c r="J2" s="3" t="s">
        <v>87</v>
      </c>
      <c r="K2" s="3" t="s">
        <v>97</v>
      </c>
      <c r="L2" s="8"/>
      <c r="M2" s="10" t="s">
        <v>74</v>
      </c>
      <c r="N2" s="3" t="s">
        <v>73</v>
      </c>
    </row>
    <row r="3" spans="1:14" x14ac:dyDescent="0.25">
      <c r="A3" s="1" t="s">
        <v>18</v>
      </c>
      <c r="B3" s="1" t="s">
        <v>19</v>
      </c>
      <c r="C3" s="1" t="s">
        <v>20</v>
      </c>
      <c r="D3" s="2" t="s">
        <v>8</v>
      </c>
      <c r="E3" s="2" t="s">
        <v>110</v>
      </c>
      <c r="F3" s="2" t="s">
        <v>64</v>
      </c>
      <c r="I3" s="3" t="s">
        <v>44</v>
      </c>
      <c r="J3" s="3" t="s">
        <v>86</v>
      </c>
      <c r="K3" s="3" t="s">
        <v>98</v>
      </c>
      <c r="L3" s="8" t="s">
        <v>68</v>
      </c>
      <c r="M3" s="41" t="s">
        <v>101</v>
      </c>
      <c r="N3" s="3" t="s">
        <v>81</v>
      </c>
    </row>
    <row r="4" spans="1:14" x14ac:dyDescent="0.25">
      <c r="A4" s="3" t="s">
        <v>21</v>
      </c>
      <c r="B4" s="3" t="s">
        <v>5</v>
      </c>
      <c r="D4" s="4"/>
      <c r="E4" s="4"/>
      <c r="F4" s="4"/>
      <c r="I4" s="3" t="s">
        <v>45</v>
      </c>
      <c r="K4" s="3" t="s">
        <v>82</v>
      </c>
      <c r="L4" s="8" t="s">
        <v>70</v>
      </c>
      <c r="M4" s="14" t="s">
        <v>94</v>
      </c>
      <c r="N4" s="3" t="s">
        <v>88</v>
      </c>
    </row>
    <row r="5" spans="1:14" x14ac:dyDescent="0.25">
      <c r="A5" s="1" t="s">
        <v>0</v>
      </c>
      <c r="B5" s="1" t="s">
        <v>23</v>
      </c>
      <c r="D5" s="4"/>
      <c r="E5" s="4"/>
      <c r="F5" s="4"/>
      <c r="I5" s="3" t="s">
        <v>46</v>
      </c>
      <c r="K5" s="3" t="s">
        <v>83</v>
      </c>
      <c r="L5" s="8" t="s">
        <v>69</v>
      </c>
      <c r="M5" s="10" t="s">
        <v>76</v>
      </c>
    </row>
    <row r="6" spans="1:14" x14ac:dyDescent="0.25">
      <c r="A6" s="3" t="s">
        <v>5</v>
      </c>
      <c r="B6" s="3" t="s">
        <v>27</v>
      </c>
      <c r="D6" s="4"/>
      <c r="E6" s="4"/>
      <c r="F6" s="4"/>
      <c r="I6" s="3" t="s">
        <v>72</v>
      </c>
      <c r="L6" s="9" t="s">
        <v>89</v>
      </c>
      <c r="M6" s="10" t="s">
        <v>78</v>
      </c>
    </row>
    <row r="7" spans="1:14" ht="25.5" x14ac:dyDescent="0.25">
      <c r="A7" s="1" t="s">
        <v>24</v>
      </c>
      <c r="B7" s="3" t="s">
        <v>25</v>
      </c>
      <c r="D7" s="4"/>
      <c r="E7" s="4"/>
      <c r="F7" s="4"/>
      <c r="L7" s="9" t="s">
        <v>85</v>
      </c>
      <c r="M7" s="14" t="s">
        <v>93</v>
      </c>
      <c r="N7" s="3" t="s">
        <v>15</v>
      </c>
    </row>
    <row r="8" spans="1:14" ht="25.5" x14ac:dyDescent="0.25">
      <c r="A8" s="3" t="s">
        <v>26</v>
      </c>
      <c r="B8" s="1" t="s">
        <v>6</v>
      </c>
      <c r="D8" s="4"/>
      <c r="E8" s="4"/>
      <c r="F8" s="4"/>
      <c r="L8" s="9" t="s">
        <v>71</v>
      </c>
      <c r="M8" s="10" t="s">
        <v>75</v>
      </c>
      <c r="N8" s="3" t="s">
        <v>0</v>
      </c>
    </row>
    <row r="9" spans="1:14" ht="25.5" x14ac:dyDescent="0.25">
      <c r="A9" s="2" t="s">
        <v>25</v>
      </c>
      <c r="B9" s="2" t="s">
        <v>22</v>
      </c>
      <c r="C9" s="4"/>
      <c r="D9" s="4"/>
      <c r="E9" s="4"/>
      <c r="F9" s="4"/>
      <c r="L9" s="9" t="s">
        <v>84</v>
      </c>
      <c r="M9" s="10" t="s">
        <v>79</v>
      </c>
      <c r="N9" s="3" t="s">
        <v>100</v>
      </c>
    </row>
    <row r="10" spans="1:14" x14ac:dyDescent="0.25">
      <c r="A10" s="2" t="s">
        <v>39</v>
      </c>
      <c r="B10" s="4"/>
      <c r="C10" s="4"/>
      <c r="D10" s="4"/>
      <c r="E10" s="4"/>
      <c r="F10" s="4"/>
      <c r="L10" s="13"/>
      <c r="M10" s="10" t="s">
        <v>80</v>
      </c>
      <c r="N10" s="3" t="s">
        <v>95</v>
      </c>
    </row>
    <row r="11" spans="1:14" x14ac:dyDescent="0.25">
      <c r="A11" s="2" t="s">
        <v>4</v>
      </c>
      <c r="B11" s="4"/>
      <c r="C11" s="4"/>
      <c r="D11" s="4"/>
      <c r="E11" s="4"/>
      <c r="F11" s="4"/>
      <c r="M11" s="10" t="s">
        <v>77</v>
      </c>
      <c r="N11" s="3" t="s">
        <v>96</v>
      </c>
    </row>
    <row r="12" spans="1:14" x14ac:dyDescent="0.25">
      <c r="A12" s="3" t="s">
        <v>107</v>
      </c>
      <c r="D12" s="4"/>
      <c r="E12" s="4"/>
      <c r="F12" s="4"/>
      <c r="N12" s="3" t="s">
        <v>99</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109</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108</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customXml/itemProps3.xml><?xml version="1.0" encoding="utf-8"?>
<ds:datastoreItem xmlns:ds="http://schemas.openxmlformats.org/officeDocument/2006/customXml" ds:itemID="{995403CC-1B98-467D-955B-76DAC9848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2022-11-14T22:22:41Z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