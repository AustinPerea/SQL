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F4CA91CF-9EAE-4067-B09B-3D6DBF8B2F73}" xr6:coauthVersionLast="47" xr6:coauthVersionMax="47" xr10:uidLastSave="{00000000-0000-0000-0000-000000000000}"/>
  <bookViews>
    <workbookView xWindow="-120" yWindow="-120" windowWidth="29040" windowHeight="15840" firstSheet="1" activeTab="1" xr2:uid="{14AFA544-0B4F-4C56-AA5D-03C915348B68}"/>
  </bookViews>
  <sheets>
    <sheet name="Student Comments" sheetId="25" state="hidden" r:id="rId1"/>
    <sheet name="Cover Sheet" sheetId="21" r:id="rId2"/>
    <sheet name="Sheet3" sheetId="32" state="veryHidden" r:id="rId3"/>
    <sheet name="Scoresheet" sheetId="50" state="veryHidden" r:id="rId4"/>
    <sheet name="Question1" sheetId="36" state="veryHidden" r:id="rId5"/>
    <sheet name="Answer1" sheetId="37" state="veryHidden" r:id="rId6"/>
    <sheet name="Question2" sheetId="38" state="veryHidden" r:id="rId7"/>
    <sheet name="Answer2" sheetId="39" state="veryHidden" r:id="rId8"/>
    <sheet name="Question3" sheetId="40" state="veryHidden" r:id="rId9"/>
    <sheet name="Answer3" sheetId="41" state="veryHidden" r:id="rId10"/>
    <sheet name="Question4" sheetId="42" state="veryHidden" r:id="rId11"/>
    <sheet name="Answer4" sheetId="43" state="veryHidden" r:id="rId12"/>
    <sheet name="Question5" sheetId="44" state="veryHidden" r:id="rId13"/>
    <sheet name="Answer5" sheetId="45" state="veryHidden" r:id="rId14"/>
    <sheet name="Question6" sheetId="46" state="veryHidden" r:id="rId15"/>
    <sheet name="Answer6" sheetId="47" state="veryHidden" r:id="rId16"/>
    <sheet name="Question7" sheetId="49" state="veryHidden" r:id="rId17"/>
    <sheet name="Answer7" sheetId="48" state="veryHidden" r:id="rId18"/>
    <sheet name="Configuration" sheetId="23" state="veryHidden" r:id="rId19"/>
    <sheet name="LogDetails" sheetId="24" state="veryHidden" r:id="rId20"/>
    <sheet name="Account List" sheetId="3" state="veryHidden" r:id="rId21"/>
  </sheets>
  <functionGroups builtInGroupCount="19"/>
  <definedNames>
    <definedName name="_xlnm.Print_Area" localSheetId="1">'Cover Sheet'!$A$1:$R$63</definedName>
    <definedName name="solver_typ" localSheetId="1" hidden="1">2</definedName>
    <definedName name="solver_ver" localSheetId="1"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 i="50" l="1"/>
  <c r="A2" i="37" a="1"/>
  <c r="A2" i="48" a="1"/>
  <c r="A2" i="47" a="1"/>
  <c r="A2" i="45" a="1"/>
  <c r="A2" i="43" a="1"/>
  <c r="A1" i="41" a="1"/>
  <c r="A1" i="39" a="1"/>
  <c r="A2" i="48" l="1"/>
  <c r="A2" i="47"/>
  <c r="A2" i="45"/>
  <c r="A2" i="43"/>
  <c r="A1" i="41"/>
  <c r="A1" i="39"/>
  <c r="A2" i="37"/>
  <c r="B1" i="49"/>
  <c r="B1" i="46"/>
  <c r="D10" i="50" l="1"/>
  <c r="D9" i="50"/>
  <c r="D8" i="50"/>
  <c r="G92" i="21"/>
  <c r="G94" i="21"/>
  <c r="G76" i="21"/>
  <c r="H92" i="21"/>
  <c r="D6" i="50" l="1"/>
  <c r="D4" i="50"/>
  <c r="D5" i="50"/>
  <c r="D7" i="50"/>
  <c r="G127" i="21"/>
  <c r="D11" i="50" l="1"/>
  <c r="I29" i="21"/>
  <c r="G170" i="2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35" i="21"/>
  <c r="H143" i="21"/>
  <c r="H169" i="21"/>
  <c r="H142" i="21"/>
  <c r="H136" i="21"/>
  <c r="H140" i="21"/>
  <c r="H131" i="21"/>
  <c r="H170" i="21"/>
  <c r="H167" i="21"/>
  <c r="H158" i="21"/>
  <c r="H159" i="21"/>
  <c r="H138" i="21"/>
  <c r="H145" i="21"/>
  <c r="H141" i="21"/>
  <c r="H147" i="21"/>
  <c r="H144" i="21"/>
  <c r="H146" i="21"/>
  <c r="H130" i="21"/>
  <c r="H133" i="21"/>
  <c r="H166" i="21"/>
  <c r="H156" i="21"/>
  <c r="H163" i="21"/>
  <c r="H164" i="21"/>
  <c r="H149" i="21"/>
  <c r="H162" i="21"/>
  <c r="H132" i="21"/>
  <c r="H160" i="21"/>
  <c r="G125" i="21" l="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161" i="21"/>
  <c r="H106" i="21"/>
  <c r="H157" i="21"/>
  <c r="H83" i="21"/>
  <c r="H165" i="21"/>
  <c r="H100" i="21"/>
  <c r="H137" i="21"/>
  <c r="H125" i="21"/>
  <c r="H114" i="21"/>
  <c r="H39" i="21"/>
  <c r="H168" i="21"/>
  <c r="H134" i="21"/>
  <c r="H139" i="21"/>
  <c r="H45" i="21"/>
  <c r="H43" i="21"/>
  <c r="H148" i="21"/>
  <c r="H124" i="21"/>
  <c r="H87" i="21"/>
  <c r="H50" i="21"/>
  <c r="G126" i="21" l="1"/>
  <c r="G118" i="21"/>
  <c r="H171" i="21"/>
  <c r="H154" i="21"/>
  <c r="H54" i="21"/>
  <c r="H94" i="21"/>
  <c r="H57" i="21"/>
  <c r="H81" i="21"/>
  <c r="H107" i="21"/>
  <c r="H89" i="21"/>
  <c r="H78" i="21"/>
  <c r="H109" i="21"/>
  <c r="H113" i="21"/>
  <c r="H97" i="21"/>
  <c r="H118" i="21"/>
  <c r="H123" i="21"/>
  <c r="H69" i="21"/>
  <c r="H105" i="21"/>
  <c r="H70" i="21"/>
  <c r="H77" i="21"/>
  <c r="H75" i="21"/>
  <c r="H90" i="21"/>
  <c r="H68" i="21"/>
  <c r="H110" i="21"/>
  <c r="H67" i="21"/>
  <c r="H120" i="21"/>
  <c r="H115" i="21"/>
  <c r="H103" i="21"/>
  <c r="H73" i="21"/>
  <c r="H126" i="21"/>
  <c r="H63" i="21"/>
  <c r="H112" i="21"/>
  <c r="H72" i="21"/>
  <c r="H74" i="21"/>
  <c r="H116" i="21"/>
  <c r="H79" i="21"/>
  <c r="H59" i="21"/>
  <c r="H99" i="21"/>
  <c r="H88" i="21"/>
  <c r="H76" i="21"/>
  <c r="H101" i="21"/>
  <c r="H95" i="21"/>
  <c r="H93" i="21"/>
  <c r="H65" i="21" l="1"/>
  <c r="H127" i="21"/>
  <c r="G84" i="21" l="1"/>
  <c r="G82" i="21"/>
  <c r="H82" i="21"/>
  <c r="G128" i="21" l="1"/>
  <c r="H84" i="21"/>
  <c r="H128" i="21"/>
  <c r="H85" i="21" l="1"/>
  <c r="H129" i="21"/>
  <c r="L27" i="2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<sst xmlns="http://schemas.openxmlformats.org/spreadsheetml/2006/main" count="3048" uniqueCount="710">
  <si>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</si>
  <si>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</si>
  <si>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</si>
  <si>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</si>
  <si>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</si>
  <si>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</si>
  <si>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</si>
  <si>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</si>
  <si>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</si>
  <si>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</si>
  <si>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</si>
  <si>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</si>
  <si>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</si>
  <si>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</si>
  <si>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</si>
  <si>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</si>
  <si>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</si>
  <si>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</si>
  <si>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</si>
  <si>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</si>
  <si>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</si>
  <si>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</si>
  <si>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</si>
  <si>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</si>
  <si>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</si>
  <si>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</si>
  <si>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</si>
  <si>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</si>
  <si>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</si>
  <si>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</si>
  <si>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</si>
  <si>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</si>
  <si>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</si>
  <si>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</si>
  <si>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</si>
  <si>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</si>
  <si>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</si>
  <si>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</si>
  <si>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</si>
  <si>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</si>
  <si>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</si>
  <si>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</si>
  <si>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</si>
  <si>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</si>
  <si>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</si>
  <si>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</si>
  <si>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</si>
  <si>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</si>
  <si>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</si>
  <si>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</si>
  <si>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</si>
  <si>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</si>
  <si>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</si>
  <si>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</si>
  <si>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</si>
  <si>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</si>
  <si>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</si>
  <si>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</si>
  <si>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</si>
  <si>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</si>
  <si>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</si>
  <si>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</si>
  <si>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</si>
  <si>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</si>
  <si>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</si>
  <si>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</si>
  <si>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</si>
  <si>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</si>
  <si>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</si>
  <si>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</si>
  <si>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</si>
  <si>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</si>
  <si>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</si>
  <si>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</si>
  <si>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</si>
  <si>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</si>
  <si>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</si>
  <si>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</si>
  <si>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</si>
  <si>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</si>
  <si>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</si>
  <si>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</si>
  <si>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</si>
  <si>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</si>
  <si>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</si>
  <si>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</si>
  <si>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</si>
  <si>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</si>
  <si>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</si>
  <si>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</si>
  <si>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</si>
  <si>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</si>
  <si>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</si>
  <si>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</si>
  <si>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</si>
  <si>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</si>
  <si>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</si>
  <si>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</si>
  <si>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</si>
  <si>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</si>
  <si>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</si>
  <si>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</si>
  <si>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</si>
  <si>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</si>
  <si>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</si>
  <si>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</si>
  <si>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</si>
  <si>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</si>
  <si>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</si>
  <si>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</si>
  <si>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</si>
  <si>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</si>
  <si>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</si>
  <si>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</si>
  <si>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</si>
  <si>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</si>
  <si>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</si>
  <si>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</si>
  <si>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</si>
  <si>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</si>
  <si>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</si>
  <si>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</si>
  <si>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</si>
  <si>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</si>
  <si>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</si>
  <si>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</si>
  <si>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</si>
  <si>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</si>
  <si>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</si>
  <si>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</si>
  <si>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</si>
  <si>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</si>
  <si>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</si>
  <si>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</si>
  <si>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</si>
  <si>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</si>
  <si>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</si>
  <si>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</si>
  <si>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</si>
  <si>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</si>
  <si>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</si>
  <si>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</si>
  <si>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</si>
  <si>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</si>
  <si>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</si>
  <si>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</si>
  <si>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</si>
  <si>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</si>
  <si>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</si>
  <si>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</si>
  <si>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</si>
  <si>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</si>
  <si>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</si>
  <si>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</si>
  <si>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</si>
  <si>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</si>
  <si>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12/10/2022 2:30:00 PM</t>
  </si>
  <si>
    <t>DATA 3250</t>
  </si>
  <si>
    <t xml:space="preserve"> Mark Zubis</t>
  </si>
  <si>
    <t>This lab uses the Adventures Works database</t>
  </si>
  <si>
    <t>Production Technician - WC60</t>
  </si>
  <si>
    <t>Production Technician - WC40</t>
  </si>
  <si>
    <t>Production Technician - WC20</t>
  </si>
  <si>
    <t xml:space="preserve">SQL Syntax - Columns must be select in the same sequence(order) as they are listed in the questions.  </t>
  </si>
  <si>
    <t>Question 3:   (10 marks)</t>
  </si>
  <si>
    <t>Question 2:  (10 marks)</t>
  </si>
  <si>
    <t>Question 1:  (10 marks)</t>
  </si>
  <si>
    <t>Question 4:  (10 Marks)</t>
  </si>
  <si>
    <t>Copy and paste your answer from the SQL window starting in Cell A5</t>
  </si>
  <si>
    <t xml:space="preserve">SQL Syntax -  include the column headers with your answers.  </t>
  </si>
  <si>
    <t>LoginID</t>
  </si>
  <si>
    <t>JobTitle</t>
  </si>
  <si>
    <t>Copy and paste your answer from the SQL window starting in Cell A5, include the headers (columns names) with your response.  This is done by right clicking on the query results and choosing "Copy with Headers", as per the screen shot.</t>
  </si>
  <si>
    <t>Copy and paste your answer from the SQL window starting in Cell A5.  Include the headers (column names) in your list</t>
  </si>
  <si>
    <t>Question 6:  (10 Marks)</t>
  </si>
  <si>
    <t>Marks</t>
  </si>
  <si>
    <r>
      <t>from</t>
    </r>
    <r>
      <rPr>
        <sz val="7"/>
        <color rgb="FF212121"/>
        <rFont val="Consolas"/>
        <family val="3"/>
      </rPr>
      <t> [HumanResources].[Employee]</t>
    </r>
  </si>
  <si>
    <t>Database:  AdventureWorks19</t>
  </si>
  <si>
    <t xml:space="preserve">Question 7:   </t>
  </si>
  <si>
    <t>AssessmentType</t>
  </si>
  <si>
    <t>Lab</t>
  </si>
  <si>
    <t>Totals</t>
  </si>
  <si>
    <t xml:space="preserve">Copy and paste your answer from the SQL window starting in Cell A5.   </t>
  </si>
  <si>
    <t>Name</t>
  </si>
  <si>
    <t>Lab 2</t>
  </si>
  <si>
    <t>Table</t>
  </si>
  <si>
    <t>Table:</t>
  </si>
  <si>
    <t>[Production].[Productinventory]</t>
  </si>
  <si>
    <t>productid</t>
  </si>
  <si>
    <t>locationid</t>
  </si>
  <si>
    <t>quantity</t>
  </si>
  <si>
    <t>shelf</t>
  </si>
  <si>
    <t>S</t>
  </si>
  <si>
    <t>Y</t>
  </si>
  <si>
    <r>
      <t>select</t>
    </r>
    <r>
      <rPr>
        <sz val="7"/>
        <color rgb="FF212121"/>
        <rFont val="Consolas"/>
        <family val="3"/>
      </rPr>
      <t> productid, locationid, quantity, shelf</t>
    </r>
  </si>
  <si>
    <r>
      <t>from</t>
    </r>
    <r>
      <rPr>
        <sz val="7"/>
        <color rgb="FF212121"/>
        <rFont val="Consolas"/>
        <family val="3"/>
      </rPr>
      <t> [Production].[Productinventory]</t>
    </r>
  </si>
  <si>
    <r>
      <t>order by</t>
    </r>
    <r>
      <rPr>
        <sz val="7"/>
        <color rgb="FF212121"/>
        <rFont val="Consolas"/>
        <family val="3"/>
      </rPr>
      <t> shelf, quantity </t>
    </r>
    <r>
      <rPr>
        <sz val="7"/>
        <color rgb="FF0000FF"/>
        <rFont val="Consolas"/>
        <family val="3"/>
      </rPr>
      <t>desc</t>
    </r>
  </si>
  <si>
    <t>HL Road Pedal</t>
  </si>
  <si>
    <t>PD-R853</t>
  </si>
  <si>
    <t>Silver/Black</t>
  </si>
  <si>
    <t xml:space="preserve">H </t>
  </si>
  <si>
    <t>ML Road Pedal</t>
  </si>
  <si>
    <t>PD-R563</t>
  </si>
  <si>
    <t xml:space="preserve">M </t>
  </si>
  <si>
    <t>HL Mountain Pedal</t>
  </si>
  <si>
    <t>PD-M562</t>
  </si>
  <si>
    <t>LL Road Pedal</t>
  </si>
  <si>
    <t>PD-R347</t>
  </si>
  <si>
    <t xml:space="preserve">L </t>
  </si>
  <si>
    <t>Include your SQL syntax in cell N3.</t>
  </si>
  <si>
    <t>ProductNumber</t>
  </si>
  <si>
    <t>Color</t>
  </si>
  <si>
    <t>class</t>
  </si>
  <si>
    <t>Weight</t>
  </si>
  <si>
    <r>
      <t>select</t>
    </r>
    <r>
      <rPr>
        <sz val="7"/>
        <color rgb="FF212121"/>
        <rFont val="Consolas"/>
        <family val="3"/>
      </rPr>
      <t> [Name],[ProductNumber],[Color], class,  [Weight]</t>
    </r>
  </si>
  <si>
    <r>
      <t>from</t>
    </r>
    <r>
      <rPr>
        <sz val="7"/>
        <color rgb="FF212121"/>
        <rFont val="Consolas"/>
        <family val="3"/>
      </rPr>
      <t> production.product</t>
    </r>
  </si>
  <si>
    <r>
      <t>where</t>
    </r>
    <r>
      <rPr>
        <sz val="7"/>
        <color rgb="FF212121"/>
        <rFont val="Consolas"/>
        <family val="3"/>
      </rPr>
      <t> class </t>
    </r>
    <r>
      <rPr>
        <sz val="7"/>
        <color rgb="FF0000FF"/>
        <rFont val="Consolas"/>
        <family val="3"/>
      </rPr>
      <t>is</t>
    </r>
    <r>
      <rPr>
        <sz val="7"/>
        <color rgb="FF212121"/>
        <rFont val="Consolas"/>
        <family val="3"/>
      </rPr>
      <t> </t>
    </r>
    <r>
      <rPr>
        <sz val="7"/>
        <color rgb="FF0000FF"/>
        <rFont val="Consolas"/>
        <family val="3"/>
      </rPr>
      <t>not</t>
    </r>
    <r>
      <rPr>
        <sz val="7"/>
        <color rgb="FF212121"/>
        <rFont val="Consolas"/>
        <family val="3"/>
      </rPr>
      <t> </t>
    </r>
    <r>
      <rPr>
        <sz val="7"/>
        <color rgb="FF0000FF"/>
        <rFont val="Consolas"/>
        <family val="3"/>
      </rPr>
      <t>null</t>
    </r>
  </si>
  <si>
    <r>
      <t>and</t>
    </r>
    <r>
      <rPr>
        <sz val="7"/>
        <color rgb="FF212121"/>
        <rFont val="Consolas"/>
        <family val="3"/>
      </rPr>
      <t> ( color </t>
    </r>
    <r>
      <rPr>
        <sz val="7"/>
        <color rgb="FF000000"/>
        <rFont val="Consolas"/>
        <family val="3"/>
      </rPr>
      <t>=</t>
    </r>
    <r>
      <rPr>
        <sz val="7"/>
        <color rgb="FFA31515"/>
        <rFont val="Consolas"/>
        <family val="3"/>
      </rPr>
      <t>'Silver/Black'</t>
    </r>
    <r>
      <rPr>
        <sz val="7"/>
        <color rgb="FF212121"/>
        <rFont val="Consolas"/>
        <family val="3"/>
      </rPr>
      <t> ) </t>
    </r>
  </si>
  <si>
    <r>
      <t>and</t>
    </r>
    <r>
      <rPr>
        <sz val="7"/>
        <color rgb="FF212121"/>
        <rFont val="Consolas"/>
        <family val="3"/>
      </rPr>
      <t> </t>
    </r>
    <r>
      <rPr>
        <sz val="7"/>
        <color rgb="FF0000FF"/>
        <rFont val="Consolas"/>
        <family val="3"/>
      </rPr>
      <t>weight</t>
    </r>
    <r>
      <rPr>
        <sz val="7"/>
        <color rgb="FF212121"/>
        <rFont val="Consolas"/>
        <family val="3"/>
      </rPr>
      <t> </t>
    </r>
    <r>
      <rPr>
        <sz val="7"/>
        <color rgb="FF000000"/>
        <rFont val="Consolas"/>
        <family val="3"/>
      </rPr>
      <t>&lt;</t>
    </r>
    <r>
      <rPr>
        <sz val="7"/>
        <color rgb="FF212121"/>
        <rFont val="Consolas"/>
        <family val="3"/>
      </rPr>
      <t> </t>
    </r>
    <r>
      <rPr>
        <sz val="7"/>
        <color rgb="FF09885A"/>
        <rFont val="Consolas"/>
        <family val="3"/>
      </rPr>
      <t>200</t>
    </r>
  </si>
  <si>
    <r>
      <t>order by</t>
    </r>
    <r>
      <rPr>
        <sz val="7"/>
        <color rgb="FF212121"/>
        <rFont val="Consolas"/>
        <family val="3"/>
      </rPr>
      <t> </t>
    </r>
    <r>
      <rPr>
        <sz val="7"/>
        <color rgb="FF0000FF"/>
        <rFont val="Consolas"/>
        <family val="3"/>
      </rPr>
      <t>weight</t>
    </r>
    <r>
      <rPr>
        <sz val="7"/>
        <color rgb="FF212121"/>
        <rFont val="Consolas"/>
        <family val="3"/>
      </rPr>
      <t> , </t>
    </r>
    <r>
      <rPr>
        <sz val="7"/>
        <color rgb="FF0000FF"/>
        <rFont val="Consolas"/>
        <family val="3"/>
      </rPr>
      <t>name</t>
    </r>
  </si>
  <si>
    <r>
      <t>select</t>
    </r>
    <r>
      <rPr>
        <sz val="7"/>
        <color rgb="FF212121"/>
        <rFont val="Consolas"/>
        <family val="3"/>
      </rPr>
      <t> [Name],[ProductNumber],[Color]</t>
    </r>
  </si>
  <si>
    <r>
      <t>where</t>
    </r>
    <r>
      <rPr>
        <sz val="7"/>
        <color rgb="FF212121"/>
        <rFont val="Consolas"/>
        <family val="3"/>
      </rPr>
      <t> color </t>
    </r>
    <r>
      <rPr>
        <sz val="7"/>
        <color rgb="FF0000FF"/>
        <rFont val="Consolas"/>
        <family val="3"/>
      </rPr>
      <t>in</t>
    </r>
    <r>
      <rPr>
        <sz val="7"/>
        <color rgb="FF212121"/>
        <rFont val="Consolas"/>
        <family val="3"/>
      </rPr>
      <t>  (</t>
    </r>
    <r>
      <rPr>
        <sz val="7"/>
        <color rgb="FFA31515"/>
        <rFont val="Consolas"/>
        <family val="3"/>
      </rPr>
      <t>'black'</t>
    </r>
    <r>
      <rPr>
        <sz val="7"/>
        <color rgb="FF212121"/>
        <rFont val="Consolas"/>
        <family val="3"/>
      </rPr>
      <t>, </t>
    </r>
    <r>
      <rPr>
        <sz val="7"/>
        <color rgb="FFA31515"/>
        <rFont val="Consolas"/>
        <family val="3"/>
      </rPr>
      <t>'silver'</t>
    </r>
    <r>
      <rPr>
        <sz val="7"/>
        <color rgb="FF212121"/>
        <rFont val="Consolas"/>
        <family val="3"/>
      </rPr>
      <t>)</t>
    </r>
  </si>
  <si>
    <r>
      <t>and</t>
    </r>
    <r>
      <rPr>
        <sz val="7"/>
        <color rgb="FF212121"/>
        <rFont val="Consolas"/>
        <family val="3"/>
      </rPr>
      <t> class </t>
    </r>
    <r>
      <rPr>
        <sz val="7"/>
        <color rgb="FF0000FF"/>
        <rFont val="Consolas"/>
        <family val="3"/>
      </rPr>
      <t>is</t>
    </r>
    <r>
      <rPr>
        <sz val="7"/>
        <color rgb="FF212121"/>
        <rFont val="Consolas"/>
        <family val="3"/>
      </rPr>
      <t>   </t>
    </r>
    <r>
      <rPr>
        <sz val="7"/>
        <color rgb="FF0000FF"/>
        <rFont val="Consolas"/>
        <family val="3"/>
      </rPr>
      <t>null</t>
    </r>
  </si>
  <si>
    <r>
      <t>order by</t>
    </r>
    <r>
      <rPr>
        <sz val="7"/>
        <color rgb="FF212121"/>
        <rFont val="Consolas"/>
        <family val="3"/>
      </rPr>
      <t>  productnumber</t>
    </r>
  </si>
  <si>
    <t>Black</t>
  </si>
  <si>
    <t>Chainring Bolts</t>
  </si>
  <si>
    <t>CB-2903</t>
  </si>
  <si>
    <t>Silver</t>
  </si>
  <si>
    <t>Chain</t>
  </si>
  <si>
    <t>CH-0234</t>
  </si>
  <si>
    <t>Chainring Nut</t>
  </si>
  <si>
    <t>CN-6137</t>
  </si>
  <si>
    <t>Front Brakes</t>
  </si>
  <si>
    <t>FB-9873</t>
  </si>
  <si>
    <t>Front Derailleur Cage</t>
  </si>
  <si>
    <t>FC-3982</t>
  </si>
  <si>
    <t>Front Derailleur</t>
  </si>
  <si>
    <t>FD-2342</t>
  </si>
  <si>
    <t>Freewheel</t>
  </si>
  <si>
    <t>FH-2981</t>
  </si>
  <si>
    <t>Front Derailleur Linkage</t>
  </si>
  <si>
    <t>FL-2301</t>
  </si>
  <si>
    <t>Hydration Pack - 70 oz.</t>
  </si>
  <si>
    <t>HY-1023-70</t>
  </si>
  <si>
    <t>Lock Ring</t>
  </si>
  <si>
    <t>LR-2398</t>
  </si>
  <si>
    <t>Rear Brakes</t>
  </si>
  <si>
    <t>RB-9231</t>
  </si>
  <si>
    <t>Rear Derailleur Cage</t>
  </si>
  <si>
    <t>RC-0291</t>
  </si>
  <si>
    <t>Rear Derailleur</t>
  </si>
  <si>
    <t>RD-2308</t>
  </si>
  <si>
    <t>Sales SalesOrderHeader</t>
  </si>
  <si>
    <t>SalesOrderID</t>
  </si>
  <si>
    <t>OrderDate</t>
  </si>
  <si>
    <t>CustomerID</t>
  </si>
  <si>
    <t>TerritoryID</t>
  </si>
  <si>
    <r>
      <t>select</t>
    </r>
    <r>
      <rPr>
        <sz val="7"/>
        <color rgb="FF212121"/>
        <rFont val="Consolas"/>
        <family val="3"/>
      </rPr>
      <t>   [SalesOrderID],[OrderDate],[CustomerID],[TerritoryID]</t>
    </r>
  </si>
  <si>
    <r>
      <t>from</t>
    </r>
    <r>
      <rPr>
        <sz val="7"/>
        <color rgb="FF212121"/>
        <rFont val="Consolas"/>
        <family val="3"/>
      </rPr>
      <t>  [sales].[SalesOrderHeader]</t>
    </r>
  </si>
  <si>
    <r>
      <t>and</t>
    </r>
    <r>
      <rPr>
        <sz val="7"/>
        <color rgb="FF212121"/>
        <rFont val="Consolas"/>
        <family val="3"/>
      </rPr>
      <t>  (territoryid </t>
    </r>
    <r>
      <rPr>
        <sz val="7"/>
        <color rgb="FF0000FF"/>
        <rFont val="Consolas"/>
        <family val="3"/>
      </rPr>
      <t>between</t>
    </r>
    <r>
      <rPr>
        <sz val="7"/>
        <color rgb="FF212121"/>
        <rFont val="Consolas"/>
        <family val="3"/>
      </rPr>
      <t> </t>
    </r>
    <r>
      <rPr>
        <sz val="7"/>
        <color rgb="FF09885A"/>
        <rFont val="Consolas"/>
        <family val="3"/>
      </rPr>
      <t>6</t>
    </r>
    <r>
      <rPr>
        <sz val="7"/>
        <color rgb="FF212121"/>
        <rFont val="Consolas"/>
        <family val="3"/>
      </rPr>
      <t> </t>
    </r>
    <r>
      <rPr>
        <sz val="7"/>
        <color rgb="FF0000FF"/>
        <rFont val="Consolas"/>
        <family val="3"/>
      </rPr>
      <t>and</t>
    </r>
    <r>
      <rPr>
        <sz val="7"/>
        <color rgb="FF212121"/>
        <rFont val="Consolas"/>
        <family val="3"/>
      </rPr>
      <t> </t>
    </r>
    <r>
      <rPr>
        <sz val="7"/>
        <color rgb="FF09885A"/>
        <rFont val="Consolas"/>
        <family val="3"/>
      </rPr>
      <t>8</t>
    </r>
    <r>
      <rPr>
        <sz val="7"/>
        <color rgb="FF212121"/>
        <rFont val="Consolas"/>
        <family val="3"/>
      </rPr>
      <t>   </t>
    </r>
    <r>
      <rPr>
        <sz val="7"/>
        <color rgb="FF0000FF"/>
        <rFont val="Consolas"/>
        <family val="3"/>
      </rPr>
      <t>or</t>
    </r>
    <r>
      <rPr>
        <sz val="7"/>
        <color rgb="FF212121"/>
        <rFont val="Consolas"/>
        <family val="3"/>
      </rPr>
      <t> territoryid </t>
    </r>
    <r>
      <rPr>
        <sz val="7"/>
        <color rgb="FF000000"/>
        <rFont val="Consolas"/>
        <family val="3"/>
      </rPr>
      <t>=</t>
    </r>
    <r>
      <rPr>
        <sz val="7"/>
        <color rgb="FF212121"/>
        <rFont val="Consolas"/>
        <family val="3"/>
      </rPr>
      <t> </t>
    </r>
    <r>
      <rPr>
        <sz val="7"/>
        <color rgb="FF09885A"/>
        <rFont val="Consolas"/>
        <family val="3"/>
      </rPr>
      <t>10</t>
    </r>
    <r>
      <rPr>
        <sz val="7"/>
        <color rgb="FF212121"/>
        <rFont val="Consolas"/>
        <family val="3"/>
      </rPr>
      <t>)</t>
    </r>
  </si>
  <si>
    <r>
      <t>order by</t>
    </r>
    <r>
      <rPr>
        <sz val="7"/>
        <color rgb="FF212121"/>
        <rFont val="Consolas"/>
        <family val="3"/>
      </rPr>
      <t> salesorderid</t>
    </r>
  </si>
  <si>
    <t>AccountNumber</t>
  </si>
  <si>
    <t>PurchasingWebServiceURL</t>
  </si>
  <si>
    <t>ADATUM0001</t>
  </si>
  <si>
    <t>A. Datum Corporation</t>
  </si>
  <si>
    <t>www.adatum.com/</t>
  </si>
  <si>
    <t>LITWARE0001</t>
  </si>
  <si>
    <t>Litware, Inc.</t>
  </si>
  <si>
    <t>www.litwareinc.com/</t>
  </si>
  <si>
    <t>NORTHW0001</t>
  </si>
  <si>
    <t>Northwind Traders</t>
  </si>
  <si>
    <t>www.northwindtraders.com/</t>
  </si>
  <si>
    <t>WIDEWOR0001</t>
  </si>
  <si>
    <t>Wide World Importers</t>
  </si>
  <si>
    <t>www.wideworldimporters.com/</t>
  </si>
  <si>
    <r>
      <t>select</t>
    </r>
    <r>
      <rPr>
        <sz val="7"/>
        <color rgb="FF212121"/>
        <rFont val="Consolas"/>
        <family val="3"/>
      </rPr>
      <t> [AccountNumber],[Name],[PurchasingWebServiceURL]</t>
    </r>
  </si>
  <si>
    <r>
      <t>from</t>
    </r>
    <r>
      <rPr>
        <sz val="7"/>
        <color rgb="FF212121"/>
        <rFont val="Consolas"/>
        <family val="3"/>
      </rPr>
      <t> purchasing.vendor</t>
    </r>
  </si>
  <si>
    <r>
      <t>where</t>
    </r>
    <r>
      <rPr>
        <sz val="7"/>
        <color rgb="FF212121"/>
        <rFont val="Consolas"/>
        <family val="3"/>
      </rPr>
      <t> PurchasingWebServiceURL </t>
    </r>
    <r>
      <rPr>
        <sz val="7"/>
        <color rgb="FF0000FF"/>
        <rFont val="Consolas"/>
        <family val="3"/>
      </rPr>
      <t>like</t>
    </r>
    <r>
      <rPr>
        <sz val="7"/>
        <color rgb="FF212121"/>
        <rFont val="Consolas"/>
        <family val="3"/>
      </rPr>
      <t> </t>
    </r>
    <r>
      <rPr>
        <sz val="7"/>
        <color rgb="FFA31515"/>
        <rFont val="Consolas"/>
        <family val="3"/>
      </rPr>
      <t>'%.com/'</t>
    </r>
  </si>
  <si>
    <r>
      <t>and</t>
    </r>
    <r>
      <rPr>
        <sz val="7"/>
        <color rgb="FF212121"/>
        <rFont val="Consolas"/>
        <family val="3"/>
      </rPr>
      <t> ActiveFlag</t>
    </r>
    <r>
      <rPr>
        <sz val="7"/>
        <color rgb="FF000000"/>
        <rFont val="Consolas"/>
        <family val="3"/>
      </rPr>
      <t>=</t>
    </r>
    <r>
      <rPr>
        <sz val="7"/>
        <color rgb="FF09885A"/>
        <rFont val="Consolas"/>
        <family val="3"/>
      </rPr>
      <t>1</t>
    </r>
  </si>
  <si>
    <r>
      <t>order by</t>
    </r>
    <r>
      <rPr>
        <sz val="7"/>
        <color rgb="FF212121"/>
        <rFont val="Consolas"/>
        <family val="3"/>
      </rPr>
      <t> AccountNumber</t>
    </r>
  </si>
  <si>
    <t>M</t>
  </si>
  <si>
    <r>
      <t>select</t>
    </r>
    <r>
      <rPr>
        <sz val="7"/>
        <color rgb="FF212121"/>
        <rFont val="Consolas"/>
        <family val="3"/>
      </rPr>
      <t> NationalIDNumber,LoginID, JobTitle, gender</t>
    </r>
  </si>
  <si>
    <r>
      <t>and</t>
    </r>
    <r>
      <rPr>
        <sz val="7"/>
        <color rgb="FF212121"/>
        <rFont val="Consolas"/>
        <family val="3"/>
      </rPr>
      <t> jobtitle </t>
    </r>
    <r>
      <rPr>
        <sz val="7"/>
        <color rgb="FF0000FF"/>
        <rFont val="Consolas"/>
        <family val="3"/>
      </rPr>
      <t>like</t>
    </r>
    <r>
      <rPr>
        <sz val="7"/>
        <color rgb="FF212121"/>
        <rFont val="Consolas"/>
        <family val="3"/>
      </rPr>
      <t> </t>
    </r>
    <r>
      <rPr>
        <sz val="7"/>
        <color rgb="FFA31515"/>
        <rFont val="Consolas"/>
        <family val="3"/>
      </rPr>
      <t>'Production Technician%'</t>
    </r>
  </si>
  <si>
    <r>
      <t>and</t>
    </r>
    <r>
      <rPr>
        <sz val="7"/>
        <color rgb="FF212121"/>
        <rFont val="Consolas"/>
        <family val="3"/>
      </rPr>
      <t> MaritalStatus </t>
    </r>
    <r>
      <rPr>
        <sz val="7"/>
        <color rgb="FF000000"/>
        <rFont val="Consolas"/>
        <family val="3"/>
      </rPr>
      <t>=</t>
    </r>
    <r>
      <rPr>
        <sz val="7"/>
        <color rgb="FF212121"/>
        <rFont val="Consolas"/>
        <family val="3"/>
      </rPr>
      <t> </t>
    </r>
    <r>
      <rPr>
        <sz val="7"/>
        <color rgb="FFA31515"/>
        <rFont val="Consolas"/>
        <family val="3"/>
      </rPr>
      <t>'M'</t>
    </r>
  </si>
  <si>
    <r>
      <t>order by</t>
    </r>
    <r>
      <rPr>
        <sz val="7"/>
        <color rgb="FF212121"/>
        <rFont val="Consolas"/>
        <family val="3"/>
      </rPr>
      <t>  loginid</t>
    </r>
  </si>
  <si>
    <t>NationalIDNumber</t>
  </si>
  <si>
    <t>gender</t>
  </si>
  <si>
    <r>
      <t>  </t>
    </r>
    <r>
      <rPr>
        <sz val="7"/>
        <color rgb="FF0000FF"/>
        <rFont val="Consolas"/>
        <family val="3"/>
      </rPr>
      <t>select</t>
    </r>
    <r>
      <rPr>
        <sz val="7"/>
        <color rgb="FF212121"/>
        <rFont val="Consolas"/>
        <family val="3"/>
      </rPr>
      <t>   [SalesOrderID]</t>
    </r>
  </si>
  <si>
    <r>
      <t>  </t>
    </r>
    <r>
      <rPr>
        <sz val="7"/>
        <color rgb="FF0000FF"/>
        <rFont val="Consolas"/>
        <family val="3"/>
      </rPr>
      <t>from</t>
    </r>
    <r>
      <rPr>
        <sz val="7"/>
        <color rgb="FF212121"/>
        <rFont val="Consolas"/>
        <family val="3"/>
      </rPr>
      <t> sales.salesorderdetail </t>
    </r>
  </si>
  <si>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915</t>
    </r>
    <r>
      <rPr>
        <sz val="7"/>
        <color rgb="FF212121"/>
        <rFont val="Consolas"/>
        <family val="3"/>
      </rPr>
      <t>, </t>
    </r>
    <r>
      <rPr>
        <sz val="7"/>
        <color rgb="FF09885A"/>
        <rFont val="Consolas"/>
        <family val="3"/>
      </rPr>
      <t>887</t>
    </r>
    <r>
      <rPr>
        <sz val="7"/>
        <color rgb="FF212121"/>
        <rFont val="Consolas"/>
        <family val="3"/>
      </rPr>
      <t>, </t>
    </r>
    <r>
      <rPr>
        <sz val="7"/>
        <color rgb="FF09885A"/>
        <rFont val="Consolas"/>
        <family val="3"/>
      </rPr>
      <t>946</t>
    </r>
    <r>
      <rPr>
        <sz val="7"/>
        <color rgb="FF212121"/>
        <rFont val="Consolas"/>
        <family val="3"/>
      </rPr>
      <t>,</t>
    </r>
    <r>
      <rPr>
        <sz val="7"/>
        <color rgb="FF09885A"/>
        <rFont val="Consolas"/>
        <family val="3"/>
      </rPr>
      <t>950</t>
    </r>
    <r>
      <rPr>
        <sz val="7"/>
        <color rgb="FF212121"/>
        <rFont val="Consolas"/>
        <family val="3"/>
      </rPr>
      <t>,</t>
    </r>
    <r>
      <rPr>
        <sz val="7"/>
        <color rgb="FF09885A"/>
        <rFont val="Consolas"/>
        <family val="3"/>
      </rPr>
      <t>911</t>
    </r>
    <r>
      <rPr>
        <sz val="7"/>
        <color rgb="FF212121"/>
        <rFont val="Consolas"/>
        <family val="3"/>
      </rPr>
      <t>)</t>
    </r>
  </si>
  <si>
    <t>INTERSECT</t>
  </si>
  <si>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900</t>
    </r>
    <r>
      <rPr>
        <sz val="7"/>
        <color rgb="FF212121"/>
        <rFont val="Consolas"/>
        <family val="3"/>
      </rPr>
      <t>, </t>
    </r>
    <r>
      <rPr>
        <sz val="7"/>
        <color rgb="FF09885A"/>
        <rFont val="Consolas"/>
        <family val="3"/>
      </rPr>
      <t>806</t>
    </r>
    <r>
      <rPr>
        <sz val="7"/>
        <color rgb="FF212121"/>
        <rFont val="Consolas"/>
        <family val="3"/>
      </rPr>
      <t>, </t>
    </r>
    <r>
      <rPr>
        <sz val="7"/>
        <color rgb="FF09885A"/>
        <rFont val="Consolas"/>
        <family val="3"/>
      </rPr>
      <t>921</t>
    </r>
    <r>
      <rPr>
        <sz val="7"/>
        <color rgb="FF212121"/>
        <rFont val="Consolas"/>
        <family val="3"/>
      </rPr>
      <t>,</t>
    </r>
    <r>
      <rPr>
        <sz val="7"/>
        <color rgb="FF09885A"/>
        <rFont val="Consolas"/>
        <family val="3"/>
      </rPr>
      <t>711</t>
    </r>
    <r>
      <rPr>
        <sz val="7"/>
        <color rgb="FF212121"/>
        <rFont val="Consolas"/>
        <family val="3"/>
      </rPr>
      <t>, </t>
    </r>
    <r>
      <rPr>
        <sz val="7"/>
        <color rgb="FF09885A"/>
        <rFont val="Consolas"/>
        <family val="3"/>
      </rPr>
      <t>707</t>
    </r>
    <r>
      <rPr>
        <sz val="7"/>
        <color rgb="FF212121"/>
        <rFont val="Consolas"/>
        <family val="3"/>
      </rPr>
      <t>)</t>
    </r>
  </si>
  <si>
    <r>
      <t>order by</t>
    </r>
    <r>
      <rPr>
        <sz val="7"/>
        <color rgb="FF212121"/>
        <rFont val="Consolas"/>
        <family val="3"/>
      </rPr>
      <t> SalesOrderID</t>
    </r>
  </si>
  <si>
    <t>Cover Sheet - 1:1048576</t>
  </si>
  <si>
    <t>C89568B-C87-232C-3B5D-30205F3</t>
  </si>
  <si>
    <t>N</t>
  </si>
  <si>
    <t>production.product</t>
  </si>
  <si>
    <t>Version 1 answer was where shelf in('S','Y','V')</t>
  </si>
  <si>
    <r>
      <t>where</t>
    </r>
    <r>
      <rPr>
        <sz val="7"/>
        <color rgb="FF212121"/>
        <rFont val="Consolas"/>
        <family val="3"/>
      </rPr>
      <t> shelf </t>
    </r>
    <r>
      <rPr>
        <sz val="7"/>
        <color rgb="FF0000FF"/>
        <rFont val="Consolas"/>
        <family val="3"/>
      </rPr>
      <t>in</t>
    </r>
    <r>
      <rPr>
        <sz val="7"/>
        <color rgb="FF212121"/>
        <rFont val="Consolas"/>
        <family val="3"/>
      </rPr>
      <t>(</t>
    </r>
    <r>
      <rPr>
        <sz val="7"/>
        <color rgb="FFA31515"/>
        <rFont val="Consolas"/>
        <family val="3"/>
      </rPr>
      <t>'S'</t>
    </r>
    <r>
      <rPr>
        <sz val="7"/>
        <color rgb="FF212121"/>
        <rFont val="Consolas"/>
        <family val="3"/>
      </rPr>
      <t>,</t>
    </r>
    <r>
      <rPr>
        <sz val="7"/>
        <color rgb="FFA31515"/>
        <rFont val="Consolas"/>
        <family val="3"/>
      </rPr>
      <t>'Y'</t>
    </r>
    <r>
      <rPr>
        <sz val="7"/>
        <color rgb="FF212121"/>
        <rFont val="Consolas"/>
        <family val="3"/>
      </rPr>
      <t>,</t>
    </r>
    <r>
      <rPr>
        <sz val="7"/>
        <color rgb="FFA31515"/>
        <rFont val="Consolas"/>
        <family val="3"/>
      </rPr>
      <t>'N'</t>
    </r>
    <r>
      <rPr>
        <sz val="7"/>
        <color rgb="FF212121"/>
        <rFont val="Consolas"/>
        <family val="3"/>
      </rPr>
      <t>)</t>
    </r>
  </si>
  <si>
    <t>V 1 answer</t>
  </si>
  <si>
    <r>
      <t>and</t>
    </r>
    <r>
      <rPr>
        <sz val="7"/>
        <color rgb="FF212121"/>
        <rFont val="Consolas"/>
        <family val="3"/>
      </rPr>
      <t> ( color </t>
    </r>
    <r>
      <rPr>
        <sz val="7"/>
        <color rgb="FF0000FF"/>
        <rFont val="Consolas"/>
        <family val="3"/>
      </rPr>
      <t>in</t>
    </r>
    <r>
      <rPr>
        <sz val="7"/>
        <color rgb="FF212121"/>
        <rFont val="Consolas"/>
        <family val="3"/>
      </rPr>
      <t> (</t>
    </r>
    <r>
      <rPr>
        <sz val="7"/>
        <color rgb="FFA31515"/>
        <rFont val="Consolas"/>
        <family val="3"/>
      </rPr>
      <t>'Silver'</t>
    </r>
    <r>
      <rPr>
        <sz val="7"/>
        <color rgb="FF212121"/>
        <rFont val="Consolas"/>
        <family val="3"/>
      </rPr>
      <t> ,</t>
    </r>
    <r>
      <rPr>
        <sz val="7"/>
        <color rgb="FFA31515"/>
        <rFont val="Consolas"/>
        <family val="3"/>
      </rPr>
      <t>'Black'</t>
    </r>
    <r>
      <rPr>
        <sz val="7"/>
        <color rgb="FF212121"/>
        <rFont val="Consolas"/>
        <family val="3"/>
      </rPr>
      <t>) ) </t>
    </r>
  </si>
  <si>
    <t>HL Road Frame - Black, 44</t>
  </si>
  <si>
    <t>FR-R92B-44</t>
  </si>
  <si>
    <t>HL Road Frame - Black, 48</t>
  </si>
  <si>
    <t>FR-R92B-48</t>
  </si>
  <si>
    <t>HL Road Frame - Black, 52</t>
  </si>
  <si>
    <t>FR-R92B-52</t>
  </si>
  <si>
    <t>HL Road Frame - Black, 58</t>
  </si>
  <si>
    <t>FR-R92B-58</t>
  </si>
  <si>
    <t>HL Road Frame - Black, 62</t>
  </si>
  <si>
    <t>FR-R92B-62</t>
  </si>
  <si>
    <t>LL Road Frame - Black, 44</t>
  </si>
  <si>
    <t>FR-R38B-44</t>
  </si>
  <si>
    <t>LL Road Frame - Black, 48</t>
  </si>
  <si>
    <t>FR-R38B-48</t>
  </si>
  <si>
    <t>LL Road Frame - Black, 52</t>
  </si>
  <si>
    <t>FR-R38B-52</t>
  </si>
  <si>
    <t>LL Road Frame - Black, 58</t>
  </si>
  <si>
    <t>FR-R38B-58</t>
  </si>
  <si>
    <t>LL Road Frame - Black, 60</t>
  </si>
  <si>
    <t>FR-R38B-60</t>
  </si>
  <si>
    <t>LL Road Frame - Black, 62</t>
  </si>
  <si>
    <t>FR-R38B-62</t>
  </si>
  <si>
    <t>HL Mountain Frame - Black, 38</t>
  </si>
  <si>
    <t>FR-M94B-38</t>
  </si>
  <si>
    <t>HL Mountain Frame - Silver, 38</t>
  </si>
  <si>
    <t>FR-M94S-38</t>
  </si>
  <si>
    <t>HL Mountain Frame - Black, 42</t>
  </si>
  <si>
    <t>FR-M94B-42</t>
  </si>
  <si>
    <t>HL Mountain Frame - Silver, 42</t>
  </si>
  <si>
    <t>FR-M94S-42</t>
  </si>
  <si>
    <t>ML Mountain Frame - Black, 38</t>
  </si>
  <si>
    <t>FR-M63B-38</t>
  </si>
  <si>
    <t>ML Mountain Frame-W - Silver, 38</t>
  </si>
  <si>
    <t>FR-M63S-38</t>
  </si>
  <si>
    <t>HL Mountain Frame - Black, 44</t>
  </si>
  <si>
    <t>FR-M94B-44</t>
  </si>
  <si>
    <t>HL Mountain Frame - Silver, 44</t>
  </si>
  <si>
    <t>FR-M94S-44</t>
  </si>
  <si>
    <t>ML Mountain Frame - Black, 40</t>
  </si>
  <si>
    <t>FR-M63B-40</t>
  </si>
  <si>
    <t>ML Mountain Frame-W - Silver, 40</t>
  </si>
  <si>
    <t>FR-M63S-40</t>
  </si>
  <si>
    <t>HL Mountain Frame - Black, 48</t>
  </si>
  <si>
    <t>FR-M94B-48</t>
  </si>
  <si>
    <t>HL Mountain Frame - Silver, 48</t>
  </si>
  <si>
    <t>FR-M94S-52</t>
  </si>
  <si>
    <t>ML Mountain Frame - Black, 44</t>
  </si>
  <si>
    <t>FR-M63B-44</t>
  </si>
  <si>
    <t>ML Mountain Frame-W - Silver, 42</t>
  </si>
  <si>
    <t>FR-M63S-42</t>
  </si>
  <si>
    <t>HL Mountain Frame - Black, 46</t>
  </si>
  <si>
    <t>FR-M94B-46</t>
  </si>
  <si>
    <t>HL Mountain Frame - Silver, 46</t>
  </si>
  <si>
    <t>FR-M94S-46</t>
  </si>
  <si>
    <t>ML Mountain Frame - Black, 48</t>
  </si>
  <si>
    <t>FR-M63B-48</t>
  </si>
  <si>
    <t>ML Mountain Frame-W - Silver, 46</t>
  </si>
  <si>
    <t>FR-M63S-46</t>
  </si>
  <si>
    <t>LL Mountain Frame - Black, 40</t>
  </si>
  <si>
    <t>FR-M21B-40</t>
  </si>
  <si>
    <t>LL Mountain Frame - Silver, 40</t>
  </si>
  <si>
    <t>FR-M21S-40</t>
  </si>
  <si>
    <t>LL Mountain Frame - Black, 42</t>
  </si>
  <si>
    <t>FR-M21B-42</t>
  </si>
  <si>
    <t>LL Mountain Frame - Silver, 42</t>
  </si>
  <si>
    <t>FR-M21S-42</t>
  </si>
  <si>
    <t>LL Mountain Frame - Black, 44</t>
  </si>
  <si>
    <t>FR-M21B-44</t>
  </si>
  <si>
    <t>LL Mountain Frame - Silver, 44</t>
  </si>
  <si>
    <t>FR-M21S-44</t>
  </si>
  <si>
    <t>LL Mountain Frame - Black, 48</t>
  </si>
  <si>
    <t>FR-M21B-48</t>
  </si>
  <si>
    <t>LL Mountain Frame - Silver, 48</t>
  </si>
  <si>
    <t>FR-M21S-48</t>
  </si>
  <si>
    <t>LL Mountain Frame - Black, 52</t>
  </si>
  <si>
    <t>FR-M21B-52</t>
  </si>
  <si>
    <t>LL Mountain Frame - Silver, 52</t>
  </si>
  <si>
    <t>FR-M21S-52</t>
  </si>
  <si>
    <t>Road-250 Black, 44</t>
  </si>
  <si>
    <t>BK-R89B-44</t>
  </si>
  <si>
    <t>Road-250 Black, 48</t>
  </si>
  <si>
    <t>BK-R89B-48</t>
  </si>
  <si>
    <t>Road-250 Black, 52</t>
  </si>
  <si>
    <t>BK-R89B-52</t>
  </si>
  <si>
    <t>Road-250 Black, 58</t>
  </si>
  <si>
    <t>BK-R89B-58</t>
  </si>
  <si>
    <t>Road-650 Black, 44</t>
  </si>
  <si>
    <t>BK-R50B-44</t>
  </si>
  <si>
    <t>Road-650 Black, 48</t>
  </si>
  <si>
    <t>BK-R50B-48</t>
  </si>
  <si>
    <t>Road-650 Black, 52</t>
  </si>
  <si>
    <t>BK-R50B-52</t>
  </si>
  <si>
    <t>Road-750 Black, 44</t>
  </si>
  <si>
    <t>BK-R19B-44</t>
  </si>
  <si>
    <t>Road-650 Black, 58</t>
  </si>
  <si>
    <t>BK-R50B-58</t>
  </si>
  <si>
    <t>Road-650 Black, 60</t>
  </si>
  <si>
    <t>BK-R50B-60</t>
  </si>
  <si>
    <t>Road-650 Black, 62</t>
  </si>
  <si>
    <t>BK-R50B-62</t>
  </si>
  <si>
    <t>Road-750 Black, 48</t>
  </si>
  <si>
    <t>BK-R19B-48</t>
  </si>
  <si>
    <t>Mountain-100 Black, 38</t>
  </si>
  <si>
    <t>BK-M82B-38</t>
  </si>
  <si>
    <t>Mountain-100 Silver, 38</t>
  </si>
  <si>
    <t>BK-M82S-38</t>
  </si>
  <si>
    <t>Road-750 Black, 52</t>
  </si>
  <si>
    <t>BK-R19B-52</t>
  </si>
  <si>
    <t>Mountain-100 Black, 42</t>
  </si>
  <si>
    <t>BK-M82B-42</t>
  </si>
  <si>
    <t>Mountain-100 Silver, 42</t>
  </si>
  <si>
    <t>BK-M82S-42</t>
  </si>
  <si>
    <t>Road-750 Black, 58</t>
  </si>
  <si>
    <t>BK-R19B-58</t>
  </si>
  <si>
    <t>Mountain-100 Black, 44</t>
  </si>
  <si>
    <t>BK-M82B-44</t>
  </si>
  <si>
    <t>Mountain-100 Silver, 44</t>
  </si>
  <si>
    <t>BK-M82S-44</t>
  </si>
  <si>
    <t>Mountain-100 Black, 48</t>
  </si>
  <si>
    <t>BK-M82B-48</t>
  </si>
  <si>
    <t>Mountain-100 Silver, 48</t>
  </si>
  <si>
    <t>BK-M82S-48</t>
  </si>
  <si>
    <t>Mountain-200 Black, 38</t>
  </si>
  <si>
    <t>BK-M68B-38</t>
  </si>
  <si>
    <t>Mountain-200 Silver, 38</t>
  </si>
  <si>
    <t>BK-M68S-38</t>
  </si>
  <si>
    <t>Mountain-200 Black, 42</t>
  </si>
  <si>
    <t>BK-M68B-42</t>
  </si>
  <si>
    <t>Mountain-200 Silver, 42</t>
  </si>
  <si>
    <t>BK-M68S-42</t>
  </si>
  <si>
    <t>Mountain-200 Black, 46</t>
  </si>
  <si>
    <t>BK-M68B-46</t>
  </si>
  <si>
    <t>Mountain-200 Silver, 46</t>
  </si>
  <si>
    <t>BK-M68S-46</t>
  </si>
  <si>
    <t>Mountain-300 Black, 38</t>
  </si>
  <si>
    <t>BK-M47B-38</t>
  </si>
  <si>
    <t>Mountain-300 Black, 40</t>
  </si>
  <si>
    <t>BK-M47B-40</t>
  </si>
  <si>
    <t>Mountain-300 Black, 44</t>
  </si>
  <si>
    <t>BK-M47B-44</t>
  </si>
  <si>
    <t>Mountain-400-W Silver, 38</t>
  </si>
  <si>
    <t>BK-M38S-38</t>
  </si>
  <si>
    <t>Mountain-300 Black, 48</t>
  </si>
  <si>
    <t>BK-M47B-48</t>
  </si>
  <si>
    <t>Mountain-400-W Silver, 40</t>
  </si>
  <si>
    <t>BK-M38S-40</t>
  </si>
  <si>
    <t>Mountain-400-W Silver, 42</t>
  </si>
  <si>
    <t>BK-M38S-42</t>
  </si>
  <si>
    <t>Mountain-500 Black, 40</t>
  </si>
  <si>
    <t>BK-M18B-40</t>
  </si>
  <si>
    <t>Mountain-500 Silver, 40</t>
  </si>
  <si>
    <t>BK-M18S-40</t>
  </si>
  <si>
    <t>Mountain-400-W Silver, 46</t>
  </si>
  <si>
    <t>BK-M38S-46</t>
  </si>
  <si>
    <t>Mountain-500 Black, 42</t>
  </si>
  <si>
    <t>BK-M18B-42</t>
  </si>
  <si>
    <t>Mountain-500 Silver, 42</t>
  </si>
  <si>
    <t>BK-M18S-42</t>
  </si>
  <si>
    <t>Mountain-500 Black, 44</t>
  </si>
  <si>
    <t>BK-M18B-44</t>
  </si>
  <si>
    <t>Mountain-500 Silver, 44</t>
  </si>
  <si>
    <t>BK-M18S-44</t>
  </si>
  <si>
    <t>Mountain-500 Black, 48</t>
  </si>
  <si>
    <t>BK-M18B-48</t>
  </si>
  <si>
    <t>Mountain-500 Silver, 48</t>
  </si>
  <si>
    <t>BK-M18S-48</t>
  </si>
  <si>
    <t>Mountain-500 Black, 52</t>
  </si>
  <si>
    <t>BK-M18B-52</t>
  </si>
  <si>
    <t>Mountain-500 Silver, 52</t>
  </si>
  <si>
    <t>BK-M18S-52</t>
  </si>
  <si>
    <r>
      <t>where</t>
    </r>
    <r>
      <rPr>
        <sz val="7"/>
        <color rgb="FF212121"/>
        <rFont val="Consolas"/>
        <family val="3"/>
      </rPr>
      <t> color </t>
    </r>
    <r>
      <rPr>
        <sz val="7"/>
        <color rgb="FF0000FF"/>
        <rFont val="Consolas"/>
        <family val="3"/>
      </rPr>
      <t>in ('Silver/Black','Silver')</t>
    </r>
  </si>
  <si>
    <t>List a product name, number, color for products with a color of either Silber/black or silver but are not associated to a class (class is null).  Order the result set alphabetically by product number,</t>
  </si>
  <si>
    <t>Touring Pedal</t>
  </si>
  <si>
    <t>PD-T852</t>
  </si>
  <si>
    <t xml:space="preserve">V1 was </t>
  </si>
  <si>
    <t>where (orderdate between '2011-12-14' and '2011-12-26')</t>
  </si>
  <si>
    <r>
      <t>where</t>
    </r>
    <r>
      <rPr>
        <sz val="7"/>
        <color rgb="FF212121"/>
        <rFont val="Consolas"/>
        <family val="3"/>
      </rPr>
      <t> (orderdate </t>
    </r>
    <r>
      <rPr>
        <sz val="7"/>
        <color rgb="FF0000FF"/>
        <rFont val="Consolas"/>
        <family val="3"/>
      </rPr>
      <t>between</t>
    </r>
    <r>
      <rPr>
        <sz val="7"/>
        <color rgb="FF212121"/>
        <rFont val="Consolas"/>
        <family val="3"/>
      </rPr>
      <t> </t>
    </r>
    <r>
      <rPr>
        <sz val="7"/>
        <color rgb="FFA31515"/>
        <rFont val="Consolas"/>
        <family val="3"/>
      </rPr>
      <t>'2012-11-14'</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'2012-11-26'</t>
    </r>
    <r>
      <rPr>
        <sz val="7"/>
        <color rgb="FF212121"/>
        <rFont val="Consolas"/>
        <family val="3"/>
      </rPr>
      <t>)</t>
    </r>
  </si>
  <si>
    <t xml:space="preserve">List the sale order id, order date, customer id and territory id for territories 6,7,8 and 10.  Inlcude orders from November 14, 2012 until Novmber 26, 2012.   Order your result set by sales order id. </t>
  </si>
  <si>
    <t>purchasing.vendor</t>
  </si>
  <si>
    <t xml:space="preserve">Return a result set of a "active" vendors accountnumber, name, creditrating and purchasing Web Service URL  that have the string ".com" in the URL.  Ensure only active vendors are in the list and order the result set by account number alphabetically.  </t>
  </si>
  <si>
    <t>V1 question did not ask for creditrating</t>
  </si>
  <si>
    <t>CreditRating</t>
  </si>
  <si>
    <t>adventure-works\alex0</t>
  </si>
  <si>
    <t>Production Technician - WC45</t>
  </si>
  <si>
    <t>adventure-works\andy0</t>
  </si>
  <si>
    <t>Production Technician - WC30</t>
  </si>
  <si>
    <t>adventure-works\barbara0</t>
  </si>
  <si>
    <t>adventure-works\brandon0</t>
  </si>
  <si>
    <t>adventure-works\britta0</t>
  </si>
  <si>
    <t>adventure-works\carol0</t>
  </si>
  <si>
    <t>adventure-works\chad0</t>
  </si>
  <si>
    <t>Production Technician - WC50</t>
  </si>
  <si>
    <t>adventure-works\chris0</t>
  </si>
  <si>
    <t>adventure-works\david7</t>
  </si>
  <si>
    <t>adventure-works\denise0</t>
  </si>
  <si>
    <t>adventure-works\don0</t>
  </si>
  <si>
    <t>adventure-works\elizabeth0</t>
  </si>
  <si>
    <t>adventure-works\frank0</t>
  </si>
  <si>
    <t>adventure-works\gabe0</t>
  </si>
  <si>
    <t>adventure-works\houman0</t>
  </si>
  <si>
    <t>adventure-works\john2</t>
  </si>
  <si>
    <t>adventure-works\jose0</t>
  </si>
  <si>
    <t>adventure-works\kathie0</t>
  </si>
  <si>
    <t>adventure-works\ken1</t>
  </si>
  <si>
    <t>adventure-works\lane0</t>
  </si>
  <si>
    <t>adventure-works\lolan0</t>
  </si>
  <si>
    <t>adventure-works\lorraine0</t>
  </si>
  <si>
    <t>adventure-works\marc0</t>
  </si>
  <si>
    <t>adventure-works\margie0</t>
  </si>
  <si>
    <t>adventure-works\merav0</t>
  </si>
  <si>
    <t>adventure-works\michael5</t>
  </si>
  <si>
    <t>adventure-works\mindaugas0</t>
  </si>
  <si>
    <t>adventure-works\nancy0</t>
  </si>
  <si>
    <t>adventure-works\nicole0</t>
  </si>
  <si>
    <t>adventure-works\paul1</t>
  </si>
  <si>
    <t>adventure-works\paula1</t>
  </si>
  <si>
    <t>adventure-works\reed0</t>
  </si>
  <si>
    <t>adventure-works\rostislav0</t>
  </si>
  <si>
    <t>adventure-works\russell1</t>
  </si>
  <si>
    <t>adventure-works\ryan0</t>
  </si>
  <si>
    <t>adventure-works\samantha0</t>
  </si>
  <si>
    <t>adventure-works\sameer0</t>
  </si>
  <si>
    <t>adventure-works\scott0</t>
  </si>
  <si>
    <t>adventure-works\suchitra0</t>
  </si>
  <si>
    <t>adventure-works\thomas0</t>
  </si>
  <si>
    <t>[HumanResources].[Employee]</t>
  </si>
  <si>
    <t>where  hiredate between '2010-01-01' and '2010-04-30'</t>
  </si>
  <si>
    <t xml:space="preserve">previous lab was </t>
  </si>
  <si>
    <r>
      <t>where</t>
    </r>
    <r>
      <rPr>
        <sz val="7"/>
        <color rgb="FF212121"/>
        <rFont val="Consolas"/>
        <family val="3"/>
      </rPr>
      <t>  hiredate </t>
    </r>
    <r>
      <rPr>
        <sz val="7"/>
        <color rgb="FF0000FF"/>
        <rFont val="Consolas"/>
        <family val="3"/>
      </rPr>
      <t>between</t>
    </r>
    <r>
      <rPr>
        <sz val="7"/>
        <color rgb="FF212121"/>
        <rFont val="Consolas"/>
        <family val="3"/>
      </rPr>
      <t> </t>
    </r>
    <r>
      <rPr>
        <sz val="7"/>
        <color rgb="FFA31515"/>
        <rFont val="Consolas"/>
        <family val="3"/>
      </rPr>
      <t>'2009-01-01'</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'2009-04-30'</t>
    </r>
  </si>
  <si>
    <t xml:space="preserve">List an Employees NationalID, Login Id, Job Title and gender for all levels of married Production Technicians for the hire dates from January 1, 2009 until April 09, 2009.  The result set should be order by login id alphabeticlly.  </t>
  </si>
  <si>
    <t>dropped 911 and 707 from previous lab</t>
  </si>
  <si>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915</t>
    </r>
    <r>
      <rPr>
        <sz val="7"/>
        <color rgb="FF212121"/>
        <rFont val="Consolas"/>
        <family val="3"/>
      </rPr>
      <t>, </t>
    </r>
    <r>
      <rPr>
        <sz val="7"/>
        <color rgb="FF09885A"/>
        <rFont val="Consolas"/>
        <family val="3"/>
      </rPr>
      <t>887</t>
    </r>
    <r>
      <rPr>
        <sz val="7"/>
        <color rgb="FF212121"/>
        <rFont val="Consolas"/>
        <family val="3"/>
      </rPr>
      <t>, </t>
    </r>
    <r>
      <rPr>
        <sz val="7"/>
        <color rgb="FF09885A"/>
        <rFont val="Consolas"/>
        <family val="3"/>
      </rPr>
      <t>946</t>
    </r>
    <r>
      <rPr>
        <sz val="7"/>
        <color rgb="FF212121"/>
        <rFont val="Consolas"/>
        <family val="3"/>
      </rPr>
      <t>,</t>
    </r>
    <r>
      <rPr>
        <sz val="7"/>
        <color rgb="FF09885A"/>
        <rFont val="Consolas"/>
        <family val="3"/>
      </rPr>
      <t>950</t>
    </r>
    <r>
      <rPr>
        <sz val="7"/>
        <color rgb="FF212121"/>
        <rFont val="Consolas"/>
        <family val="3"/>
      </rPr>
      <t>)</t>
    </r>
  </si>
  <si>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900</t>
    </r>
    <r>
      <rPr>
        <sz val="7"/>
        <color rgb="FF212121"/>
        <rFont val="Consolas"/>
        <family val="3"/>
      </rPr>
      <t>, </t>
    </r>
    <r>
      <rPr>
        <sz val="7"/>
        <color rgb="FF09885A"/>
        <rFont val="Consolas"/>
        <family val="3"/>
      </rPr>
      <t>806</t>
    </r>
    <r>
      <rPr>
        <sz val="7"/>
        <color rgb="FF212121"/>
        <rFont val="Consolas"/>
        <family val="3"/>
      </rPr>
      <t>, </t>
    </r>
    <r>
      <rPr>
        <sz val="7"/>
        <color rgb="FF09885A"/>
        <rFont val="Consolas"/>
        <family val="3"/>
      </rPr>
      <t>921</t>
    </r>
    <r>
      <rPr>
        <sz val="7"/>
        <color rgb="FF212121"/>
        <rFont val="Consolas"/>
        <family val="3"/>
      </rPr>
      <t>,</t>
    </r>
    <r>
      <rPr>
        <sz val="7"/>
        <color rgb="FF09885A"/>
        <rFont val="Consolas"/>
        <family val="3"/>
      </rPr>
      <t>711</t>
    </r>
    <r>
      <rPr>
        <sz val="7"/>
        <color rgb="FF212121"/>
        <rFont val="Consolas"/>
        <family val="3"/>
      </rPr>
      <t>)</t>
    </r>
  </si>
  <si>
    <t xml:space="preserve">List the productID, locationID, quantity and shelf  in shelves S Y and N.   Order the result set by shelf  and  quantity descending.  </t>
  </si>
  <si>
    <t xml:space="preserve">List the products name, product number, color, class and weight for products with the colors Silver or Black.  Include only products that are 200 grams (G) or less.  Order the result set by name, then by lowest weight.  </t>
  </si>
  <si>
    <t xml:space="preserve">Extract a list from sales orders (sales order id only)for that contain at least one of product ids 915, 887, 946,950  that may have one of (instersect) product ids 900, 806, 921 and 711  on the same sales order.  Order the results set ascending by sales order id.  </t>
  </si>
  <si>
    <t>6E7C9BF-13B0-48A8-159B-BB145F2</t>
  </si>
  <si>
    <t>Cover Sheet - H11</t>
  </si>
  <si>
    <t>Austin</t>
  </si>
  <si>
    <t>Cover Sheet - F28</t>
  </si>
  <si>
    <t>Austin Perea</t>
  </si>
  <si>
    <t>Cover Sheet - H10</t>
  </si>
  <si>
    <r>
      <t>SELECT</t>
    </r>
    <r>
      <rPr>
        <sz val="9"/>
        <color rgb="FF212121"/>
        <rFont val="Consolas"/>
        <family val="3"/>
      </rPr>
      <t xml:space="preserve"> ProductID, LocationID, Quantity, Shelf</t>
    </r>
  </si>
  <si>
    <t>Question1 - L4:L6</t>
  </si>
  <si>
    <t>SELECT ProductID, LocationID, Quantity, Shelf</t>
  </si>
  <si>
    <t>ProductID</t>
  </si>
  <si>
    <t>LocationID</t>
  </si>
  <si>
    <t>Quantity</t>
  </si>
  <si>
    <t>Shelf</t>
  </si>
  <si>
    <t>A</t>
  </si>
  <si>
    <t>B</t>
  </si>
  <si>
    <t>C</t>
  </si>
  <si>
    <t>D</t>
  </si>
  <si>
    <t>E</t>
  </si>
  <si>
    <t>G</t>
  </si>
  <si>
    <t>H</t>
  </si>
  <si>
    <t>J</t>
  </si>
  <si>
    <t>K</t>
  </si>
  <si>
    <t>L</t>
  </si>
  <si>
    <t>R</t>
  </si>
  <si>
    <t>T</t>
  </si>
  <si>
    <t>V</t>
  </si>
  <si>
    <t>W</t>
  </si>
  <si>
    <t>Question1 - A5:D1074</t>
  </si>
  <si>
    <r>
      <t>SELECT</t>
    </r>
    <r>
      <rPr>
        <sz val="9"/>
        <color rgb="FF212121"/>
        <rFont val="Consolas"/>
        <family val="3"/>
      </rPr>
      <t xml:space="preserve"> </t>
    </r>
    <r>
      <rPr>
        <sz val="9"/>
        <color rgb="FF0000FF"/>
        <rFont val="Consolas"/>
        <family val="3"/>
      </rPr>
      <t>Name</t>
    </r>
    <r>
      <rPr>
        <sz val="9"/>
        <color rgb="FF212121"/>
        <rFont val="Consolas"/>
        <family val="3"/>
      </rPr>
      <t xml:space="preserve">, ProductNumber, Color, Class, </t>
    </r>
    <r>
      <rPr>
        <sz val="9"/>
        <color rgb="FF0000FF"/>
        <rFont val="Consolas"/>
        <family val="3"/>
      </rPr>
      <t>Weight</t>
    </r>
  </si>
  <si>
    <r>
      <t>AND</t>
    </r>
    <r>
      <rPr>
        <sz val="9"/>
        <color rgb="FF212121"/>
        <rFont val="Consolas"/>
        <family val="3"/>
      </rPr>
      <t xml:space="preserve"> </t>
    </r>
    <r>
      <rPr>
        <sz val="9"/>
        <color rgb="FF0000FF"/>
        <rFont val="Consolas"/>
        <family val="3"/>
      </rPr>
      <t>Weight</t>
    </r>
    <r>
      <rPr>
        <sz val="9"/>
        <color rgb="FF212121"/>
        <rFont val="Consolas"/>
        <family val="3"/>
      </rPr>
      <t xml:space="preserve"> </t>
    </r>
    <r>
      <rPr>
        <sz val="9"/>
        <color rgb="FF000000"/>
        <rFont val="Consolas"/>
        <family val="3"/>
      </rPr>
      <t>&lt;=</t>
    </r>
    <r>
      <rPr>
        <sz val="9"/>
        <color rgb="FF212121"/>
        <rFont val="Consolas"/>
        <family val="3"/>
      </rPr>
      <t xml:space="preserve"> </t>
    </r>
    <r>
      <rPr>
        <sz val="9"/>
        <color rgb="FF09885A"/>
        <rFont val="Consolas"/>
        <family val="3"/>
      </rPr>
      <t>200</t>
    </r>
  </si>
  <si>
    <r>
      <t>ORDER BY</t>
    </r>
    <r>
      <rPr>
        <sz val="9"/>
        <color rgb="FF212121"/>
        <rFont val="Consolas"/>
        <family val="3"/>
      </rPr>
      <t xml:space="preserve"> </t>
    </r>
    <r>
      <rPr>
        <sz val="9"/>
        <color rgb="FF0000FF"/>
        <rFont val="Consolas"/>
        <family val="3"/>
      </rPr>
      <t>Name</t>
    </r>
    <r>
      <rPr>
        <sz val="9"/>
        <color rgb="FF212121"/>
        <rFont val="Consolas"/>
        <family val="3"/>
      </rPr>
      <t xml:space="preserve">, </t>
    </r>
    <r>
      <rPr>
        <sz val="9"/>
        <color rgb="FF0000FF"/>
        <rFont val="Consolas"/>
        <family val="3"/>
      </rPr>
      <t>Weight</t>
    </r>
    <r>
      <rPr>
        <sz val="9"/>
        <color rgb="FF212121"/>
        <rFont val="Consolas"/>
        <family val="3"/>
      </rPr>
      <t xml:space="preserve"> </t>
    </r>
  </si>
  <si>
    <t>Question2 - N4:N8</t>
  </si>
  <si>
    <t>SELECT Name, ProductNumber, Color, Class, Weight</t>
  </si>
  <si>
    <t>Question1 - L4</t>
  </si>
  <si>
    <t>Class</t>
  </si>
  <si>
    <t>NULL</t>
  </si>
  <si>
    <t>Question3 - A5:E91</t>
  </si>
  <si>
    <t>Question2 - A5:E91</t>
  </si>
  <si>
    <t>Question3 - C13</t>
  </si>
  <si>
    <r>
      <t>SELECT</t>
    </r>
    <r>
      <rPr>
        <sz val="9"/>
        <color rgb="FF212121"/>
        <rFont val="Consolas"/>
        <family val="3"/>
      </rPr>
      <t xml:space="preserve"> </t>
    </r>
    <r>
      <rPr>
        <sz val="9"/>
        <color rgb="FF0000FF"/>
        <rFont val="Consolas"/>
        <family val="3"/>
      </rPr>
      <t>Name</t>
    </r>
    <r>
      <rPr>
        <sz val="9"/>
        <color rgb="FF212121"/>
        <rFont val="Consolas"/>
        <family val="3"/>
      </rPr>
      <t>, ProductNumber, Color</t>
    </r>
  </si>
  <si>
    <r>
      <t>FROM</t>
    </r>
    <r>
      <rPr>
        <sz val="9"/>
        <color rgb="FF212121"/>
        <rFont val="Consolas"/>
        <family val="3"/>
      </rPr>
      <t xml:space="preserve"> Production.Product</t>
    </r>
  </si>
  <si>
    <r>
      <t>AND</t>
    </r>
    <r>
      <rPr>
        <sz val="9"/>
        <color rgb="FF212121"/>
        <rFont val="Consolas"/>
        <family val="3"/>
      </rPr>
      <t xml:space="preserve"> Class </t>
    </r>
    <r>
      <rPr>
        <sz val="9"/>
        <color rgb="FF0000FF"/>
        <rFont val="Consolas"/>
        <family val="3"/>
      </rPr>
      <t>IS</t>
    </r>
    <r>
      <rPr>
        <sz val="9"/>
        <color rgb="FF212121"/>
        <rFont val="Consolas"/>
        <family val="3"/>
      </rPr>
      <t xml:space="preserve"> </t>
    </r>
    <r>
      <rPr>
        <sz val="9"/>
        <color rgb="FF0000FF"/>
        <rFont val="Consolas"/>
        <family val="3"/>
      </rPr>
      <t>NULL</t>
    </r>
  </si>
  <si>
    <r>
      <t>ORDER BY</t>
    </r>
    <r>
      <rPr>
        <sz val="9"/>
        <color rgb="FF212121"/>
        <rFont val="Consolas"/>
        <family val="3"/>
      </rPr>
      <t xml:space="preserve"> ProductNumber</t>
    </r>
  </si>
  <si>
    <t>Question3 - N4:N8</t>
  </si>
  <si>
    <t>SELECT Name, ProductNumber, Color</t>
  </si>
  <si>
    <t>Question3 - A5:C19</t>
  </si>
  <si>
    <r>
      <t>SELECT</t>
    </r>
    <r>
      <rPr>
        <sz val="9"/>
        <color rgb="FF212121"/>
        <rFont val="Consolas"/>
        <family val="3"/>
      </rPr>
      <t xml:space="preserve"> SalesOrderID, OrderDate, CustomerID, TerritoryID</t>
    </r>
  </si>
  <si>
    <r>
      <t>from</t>
    </r>
    <r>
      <rPr>
        <sz val="9"/>
        <color rgb="FF212121"/>
        <rFont val="Consolas"/>
        <family val="3"/>
      </rPr>
      <t xml:space="preserve"> Sales.SalesOrderHeader</t>
    </r>
  </si>
  <si>
    <r>
      <t>WHERE</t>
    </r>
    <r>
      <rPr>
        <sz val="9"/>
        <color rgb="FF212121"/>
        <rFont val="Consolas"/>
        <family val="3"/>
      </rPr>
      <t xml:space="preserve"> OrderDate </t>
    </r>
    <r>
      <rPr>
        <sz val="9"/>
        <color rgb="FF000000"/>
        <rFont val="Consolas"/>
        <family val="3"/>
      </rPr>
      <t>&gt;=</t>
    </r>
    <r>
      <rPr>
        <sz val="9"/>
        <color rgb="FF212121"/>
        <rFont val="Consolas"/>
        <family val="3"/>
      </rPr>
      <t xml:space="preserve"> </t>
    </r>
    <r>
      <rPr>
        <sz val="9"/>
        <color rgb="FFA31515"/>
        <rFont val="Consolas"/>
        <family val="3"/>
      </rPr>
      <t>'2012-11-14'</t>
    </r>
  </si>
  <si>
    <r>
      <t>AND</t>
    </r>
    <r>
      <rPr>
        <sz val="9"/>
        <color rgb="FF212121"/>
        <rFont val="Consolas"/>
        <family val="3"/>
      </rPr>
      <t xml:space="preserve"> OrderDate </t>
    </r>
    <r>
      <rPr>
        <sz val="9"/>
        <color rgb="FF000000"/>
        <rFont val="Consolas"/>
        <family val="3"/>
      </rPr>
      <t>&lt;=</t>
    </r>
    <r>
      <rPr>
        <sz val="9"/>
        <color rgb="FF212121"/>
        <rFont val="Consolas"/>
        <family val="3"/>
      </rPr>
      <t xml:space="preserve"> </t>
    </r>
    <r>
      <rPr>
        <sz val="9"/>
        <color rgb="FFA31515"/>
        <rFont val="Consolas"/>
        <family val="3"/>
      </rPr>
      <t>'2012-11-26'</t>
    </r>
    <r>
      <rPr>
        <sz val="9"/>
        <color rgb="FF212121"/>
        <rFont val="Consolas"/>
        <family val="3"/>
      </rPr>
      <t xml:space="preserve">  </t>
    </r>
  </si>
  <si>
    <r>
      <t>ORDER BY</t>
    </r>
    <r>
      <rPr>
        <sz val="9"/>
        <color rgb="FF212121"/>
        <rFont val="Consolas"/>
        <family val="3"/>
      </rPr>
      <t xml:space="preserve"> SalesOrderID</t>
    </r>
  </si>
  <si>
    <t>Question4 - N4:N9</t>
  </si>
  <si>
    <t>SELECT SalesOrderID, OrderDate, CustomerID, TerritoryID</t>
  </si>
  <si>
    <t>Question4 - A5:D59</t>
  </si>
  <si>
    <r>
      <t>SELECT</t>
    </r>
    <r>
      <rPr>
        <sz val="9"/>
        <color rgb="FF212121"/>
        <rFont val="Consolas"/>
        <family val="3"/>
      </rPr>
      <t xml:space="preserve"> AccountNumber, </t>
    </r>
    <r>
      <rPr>
        <sz val="9"/>
        <color rgb="FF0000FF"/>
        <rFont val="Consolas"/>
        <family val="3"/>
      </rPr>
      <t>Name</t>
    </r>
    <r>
      <rPr>
        <sz val="9"/>
        <color rgb="FF212121"/>
        <rFont val="Consolas"/>
        <family val="3"/>
      </rPr>
      <t>, CreditRating, PurchasingWebServiceURL</t>
    </r>
  </si>
  <si>
    <r>
      <t>FROM</t>
    </r>
    <r>
      <rPr>
        <sz val="9"/>
        <color rgb="FF212121"/>
        <rFont val="Consolas"/>
        <family val="3"/>
      </rPr>
      <t xml:space="preserve"> Purchasing.Vendor</t>
    </r>
  </si>
  <si>
    <r>
      <t>WHERE</t>
    </r>
    <r>
      <rPr>
        <sz val="9"/>
        <color rgb="FF212121"/>
        <rFont val="Consolas"/>
        <family val="3"/>
      </rPr>
      <t xml:space="preserve"> ActiveFlag </t>
    </r>
    <r>
      <rPr>
        <sz val="9"/>
        <color rgb="FF000000"/>
        <rFont val="Consolas"/>
        <family val="3"/>
      </rPr>
      <t>=</t>
    </r>
    <r>
      <rPr>
        <sz val="9"/>
        <color rgb="FF212121"/>
        <rFont val="Consolas"/>
        <family val="3"/>
      </rPr>
      <t xml:space="preserve"> </t>
    </r>
    <r>
      <rPr>
        <sz val="9"/>
        <color rgb="FF09885A"/>
        <rFont val="Consolas"/>
        <family val="3"/>
      </rPr>
      <t>1</t>
    </r>
  </si>
  <si>
    <r>
      <t>AND</t>
    </r>
    <r>
      <rPr>
        <sz val="9"/>
        <color rgb="FF212121"/>
        <rFont val="Consolas"/>
        <family val="3"/>
      </rPr>
      <t xml:space="preserve"> PurchasingWebServiceURL </t>
    </r>
    <r>
      <rPr>
        <sz val="9"/>
        <color rgb="FF0000FF"/>
        <rFont val="Consolas"/>
        <family val="3"/>
      </rPr>
      <t>LIKE</t>
    </r>
    <r>
      <rPr>
        <sz val="9"/>
        <color rgb="FF212121"/>
        <rFont val="Consolas"/>
        <family val="3"/>
      </rPr>
      <t xml:space="preserve"> </t>
    </r>
    <r>
      <rPr>
        <sz val="9"/>
        <color rgb="FFA31515"/>
        <rFont val="Consolas"/>
        <family val="3"/>
      </rPr>
      <t>'%.com%'</t>
    </r>
  </si>
  <si>
    <r>
      <t>ORDER BY</t>
    </r>
    <r>
      <rPr>
        <sz val="9"/>
        <color rgb="FF212121"/>
        <rFont val="Consolas"/>
        <family val="3"/>
      </rPr>
      <t xml:space="preserve"> AccountNumber</t>
    </r>
  </si>
  <si>
    <t>Question5 - N4:N8</t>
  </si>
  <si>
    <t>SELECT AccountNumber, Name, CreditRating, PurchasingWebServiceURL</t>
  </si>
  <si>
    <t>Question5 - A5:D9</t>
  </si>
  <si>
    <r>
      <t>SELECT</t>
    </r>
    <r>
      <rPr>
        <sz val="9"/>
        <color rgb="FF212121"/>
        <rFont val="Consolas"/>
        <family val="3"/>
      </rPr>
      <t xml:space="preserve"> NationalIDNumber, LoginID, JobTitle, Gender, HireDate</t>
    </r>
  </si>
  <si>
    <r>
      <t>FROM</t>
    </r>
    <r>
      <rPr>
        <sz val="9"/>
        <color rgb="FF212121"/>
        <rFont val="Consolas"/>
        <family val="3"/>
      </rPr>
      <t xml:space="preserve"> HumanResources.Employee</t>
    </r>
  </si>
  <si>
    <r>
      <t>WHERE</t>
    </r>
    <r>
      <rPr>
        <sz val="9"/>
        <color rgb="FF212121"/>
        <rFont val="Consolas"/>
        <family val="3"/>
      </rPr>
      <t xml:space="preserve"> MaritalStatus </t>
    </r>
    <r>
      <rPr>
        <sz val="9"/>
        <color rgb="FF000000"/>
        <rFont val="Consolas"/>
        <family val="3"/>
      </rPr>
      <t>=</t>
    </r>
    <r>
      <rPr>
        <sz val="9"/>
        <color rgb="FF212121"/>
        <rFont val="Consolas"/>
        <family val="3"/>
      </rPr>
      <t xml:space="preserve"> </t>
    </r>
    <r>
      <rPr>
        <sz val="9"/>
        <color rgb="FFA31515"/>
        <rFont val="Consolas"/>
        <family val="3"/>
      </rPr>
      <t>'M'</t>
    </r>
  </si>
  <si>
    <r>
      <t>AND</t>
    </r>
    <r>
      <rPr>
        <sz val="9"/>
        <color rgb="FF212121"/>
        <rFont val="Consolas"/>
        <family val="3"/>
      </rPr>
      <t xml:space="preserve"> HireDate </t>
    </r>
    <r>
      <rPr>
        <sz val="9"/>
        <color rgb="FF000000"/>
        <rFont val="Consolas"/>
        <family val="3"/>
      </rPr>
      <t>&gt;=</t>
    </r>
    <r>
      <rPr>
        <sz val="9"/>
        <color rgb="FF212121"/>
        <rFont val="Consolas"/>
        <family val="3"/>
      </rPr>
      <t xml:space="preserve"> </t>
    </r>
    <r>
      <rPr>
        <sz val="9"/>
        <color rgb="FFA31515"/>
        <rFont val="Consolas"/>
        <family val="3"/>
      </rPr>
      <t>'2009-01-01'</t>
    </r>
    <r>
      <rPr>
        <sz val="9"/>
        <color rgb="FF212121"/>
        <rFont val="Consolas"/>
        <family val="3"/>
      </rPr>
      <t xml:space="preserve"> </t>
    </r>
  </si>
  <si>
    <r>
      <t>AND</t>
    </r>
    <r>
      <rPr>
        <sz val="9"/>
        <color rgb="FF212121"/>
        <rFont val="Consolas"/>
        <family val="3"/>
      </rPr>
      <t xml:space="preserve"> HireDate </t>
    </r>
    <r>
      <rPr>
        <sz val="9"/>
        <color rgb="FF000000"/>
        <rFont val="Consolas"/>
        <family val="3"/>
      </rPr>
      <t>&lt;=</t>
    </r>
    <r>
      <rPr>
        <sz val="9"/>
        <color rgb="FF212121"/>
        <rFont val="Consolas"/>
        <family val="3"/>
      </rPr>
      <t xml:space="preserve"> </t>
    </r>
    <r>
      <rPr>
        <sz val="9"/>
        <color rgb="FFA31515"/>
        <rFont val="Consolas"/>
        <family val="3"/>
      </rPr>
      <t>'2009-04-09'</t>
    </r>
  </si>
  <si>
    <r>
      <t>ORDER BY</t>
    </r>
    <r>
      <rPr>
        <sz val="9"/>
        <color rgb="FF212121"/>
        <rFont val="Consolas"/>
        <family val="3"/>
      </rPr>
      <t xml:space="preserve"> LoginID</t>
    </r>
  </si>
  <si>
    <t>Question6 - N3:N8</t>
  </si>
  <si>
    <t>SELECT NationalIDNumber, LoginID, JobTitle, Gender, HireDate</t>
  </si>
  <si>
    <t>Gender</t>
  </si>
  <si>
    <t>HireDate</t>
  </si>
  <si>
    <t>adventure-works\alan0</t>
  </si>
  <si>
    <t>Scheduling Assistant</t>
  </si>
  <si>
    <t>adventure-works\andreas0</t>
  </si>
  <si>
    <t>Quality Assurance Technician</t>
  </si>
  <si>
    <t>adventure-works\arvind0</t>
  </si>
  <si>
    <t>Buyer</t>
  </si>
  <si>
    <t>adventure-works\barbara1</t>
  </si>
  <si>
    <t>Accountant</t>
  </si>
  <si>
    <t>adventure-works\brenda0</t>
  </si>
  <si>
    <t>Production Supervisor - WC40</t>
  </si>
  <si>
    <t>adventure-works\brian1</t>
  </si>
  <si>
    <t>adventure-works\chris1</t>
  </si>
  <si>
    <t>Control Specialist</t>
  </si>
  <si>
    <t>adventure-works\dan0</t>
  </si>
  <si>
    <t>Application Specialist</t>
  </si>
  <si>
    <t>adventure-works\dan1</t>
  </si>
  <si>
    <t>Database Administrator</t>
  </si>
  <si>
    <t>adventure-works\david6</t>
  </si>
  <si>
    <t>Accounts Manager</t>
  </si>
  <si>
    <t>adventure-works\dragan0</t>
  </si>
  <si>
    <t>Accounts Payable Specialist</t>
  </si>
  <si>
    <t>adventure-works\dylan0</t>
  </si>
  <si>
    <t>Research and Development Manager</t>
  </si>
  <si>
    <t>adventure-works\eric0</t>
  </si>
  <si>
    <t>Production Supervisor - WC20</t>
  </si>
  <si>
    <t>adventure-works\gigi0</t>
  </si>
  <si>
    <t>Research and Development Engineer</t>
  </si>
  <si>
    <t>adventure-works\janet0</t>
  </si>
  <si>
    <t>adventure-works\jeff0</t>
  </si>
  <si>
    <t>Production Supervisor - WC45</t>
  </si>
  <si>
    <t>adventure-works\jill0</t>
  </si>
  <si>
    <t>Marketing Specialist</t>
  </si>
  <si>
    <t>adventure-works\jimmy0</t>
  </si>
  <si>
    <t>Stocker</t>
  </si>
  <si>
    <t>adventure-works\karen0</t>
  </si>
  <si>
    <t>Document Control Assistant</t>
  </si>
  <si>
    <t>adventure-works\laura1</t>
  </si>
  <si>
    <t>Chief Financial Officer</t>
  </si>
  <si>
    <t>adventure-works\mary0</t>
  </si>
  <si>
    <t>adventure-works\matthias0</t>
  </si>
  <si>
    <t>Shipping and Receiving Clerk</t>
  </si>
  <si>
    <t>adventure-works\sairaj0</t>
  </si>
  <si>
    <t>adventure-works\terry0</t>
  </si>
  <si>
    <t>adventure-works\william0</t>
  </si>
  <si>
    <t>adventure-works\yuhong0</t>
  </si>
  <si>
    <t>adventure-works\zainal0</t>
  </si>
  <si>
    <t>Document Control Manager</t>
  </si>
  <si>
    <t>Question6 - A5:E72</t>
  </si>
  <si>
    <t>Question6 - E6</t>
  </si>
  <si>
    <r>
      <t>SELECT DISTINCT</t>
    </r>
    <r>
      <rPr>
        <sz val="9"/>
        <color rgb="FF212121"/>
        <rFont val="Consolas"/>
        <family val="3"/>
      </rPr>
      <t xml:space="preserve"> SalesOrderID</t>
    </r>
  </si>
  <si>
    <t>Question7 - N3:N10</t>
  </si>
  <si>
    <t>SELECT DISTINCT SalesOrderID</t>
  </si>
  <si>
    <t>Question7 - A5:A58</t>
  </si>
  <si>
    <t>Question7 - A6</t>
  </si>
  <si>
    <t>Question7 - A5</t>
  </si>
  <si>
    <t>Question7 - A8</t>
  </si>
  <si>
    <t>Question7 - A12</t>
  </si>
  <si>
    <r>
      <t>FROM</t>
    </r>
    <r>
      <rPr>
        <sz val="9"/>
        <color rgb="FF212121"/>
        <rFont val="Consolas"/>
        <family val="3"/>
      </rPr>
      <t xml:space="preserve"> Sales.SalesOrderDetail</t>
    </r>
  </si>
  <si>
    <t>Question7 - N4</t>
  </si>
  <si>
    <t>FROM Sales.SalesOrderDetail</t>
  </si>
  <si>
    <t>Question7 - N8</t>
  </si>
  <si>
    <t>FROM Production.ProductInventory</t>
  </si>
  <si>
    <t>Question1 - L5</t>
  </si>
  <si>
    <t>Question1 - L6</t>
  </si>
  <si>
    <r>
      <t>FROM</t>
    </r>
    <r>
      <rPr>
        <sz val="9"/>
        <color rgb="FF212121"/>
        <rFont val="Consolas"/>
        <family val="3"/>
      </rPr>
      <t xml:space="preserve"> Production.ProductInventory</t>
    </r>
  </si>
  <si>
    <r>
      <t>ORDER BY</t>
    </r>
    <r>
      <rPr>
        <sz val="9"/>
        <color rgb="FF212121"/>
        <rFont val="Consolas"/>
        <family val="3"/>
      </rPr>
      <t xml:space="preserve"> Shelf, Quantity </t>
    </r>
    <r>
      <rPr>
        <sz val="9"/>
        <color rgb="FF0000FF"/>
        <rFont val="Consolas"/>
        <family val="3"/>
      </rPr>
      <t>DESC</t>
    </r>
  </si>
  <si>
    <t>FROM Production.Product</t>
  </si>
  <si>
    <t>Question2 - N5</t>
  </si>
  <si>
    <t>Question2 - N7</t>
  </si>
  <si>
    <t>AND Weight &lt;= 200</t>
  </si>
  <si>
    <t>Question2 - P5</t>
  </si>
  <si>
    <t xml:space="preserve"> Production.Product</t>
  </si>
  <si>
    <t>Question2 - N4</t>
  </si>
  <si>
    <t>Question2 - O4:Q4</t>
  </si>
  <si>
    <t>Question2 - O4</t>
  </si>
  <si>
    <t>Question2 - U4</t>
  </si>
  <si>
    <t>Question2 - P4</t>
  </si>
  <si>
    <t>Question2 - T4</t>
  </si>
  <si>
    <t>Question2 - S4</t>
  </si>
  <si>
    <t>Question2 - Q4</t>
  </si>
  <si>
    <t>Question2 - N6</t>
  </si>
  <si>
    <t>Question2 - N8</t>
  </si>
  <si>
    <t>Question2 - O6</t>
  </si>
  <si>
    <r>
      <t>WHERE</t>
    </r>
    <r>
      <rPr>
        <sz val="9"/>
        <color rgb="FF212121"/>
        <rFont val="Consolas"/>
        <family val="3"/>
      </rPr>
      <t xml:space="preserve"> Color </t>
    </r>
    <r>
      <rPr>
        <sz val="9"/>
        <color rgb="FF0000FF"/>
        <rFont val="Consolas"/>
        <family val="3"/>
      </rPr>
      <t>IN</t>
    </r>
    <r>
      <rPr>
        <sz val="9"/>
        <color rgb="FF212121"/>
        <rFont val="Consolas"/>
        <family val="3"/>
      </rPr>
      <t xml:space="preserve"> (</t>
    </r>
    <r>
      <rPr>
        <sz val="9"/>
        <color rgb="FFA31515"/>
        <rFont val="Consolas"/>
        <family val="3"/>
      </rPr>
      <t>'silver'</t>
    </r>
    <r>
      <rPr>
        <sz val="9"/>
        <color rgb="FF212121"/>
        <rFont val="Consolas"/>
        <family val="3"/>
      </rPr>
      <t xml:space="preserve">, </t>
    </r>
    <r>
      <rPr>
        <sz val="9"/>
        <color rgb="FFA31515"/>
        <rFont val="Consolas"/>
        <family val="3"/>
      </rPr>
      <t>'black'</t>
    </r>
    <r>
      <rPr>
        <sz val="9"/>
        <color rgb="FF212121"/>
        <rFont val="Consolas"/>
        <family val="3"/>
      </rPr>
      <t>)</t>
    </r>
  </si>
  <si>
    <t>WHERE Color IN ('silver', 'black')</t>
  </si>
  <si>
    <r>
      <t>WHERE</t>
    </r>
    <r>
      <rPr>
        <sz val="9"/>
        <color rgb="FF212121"/>
        <rFont val="Consolas"/>
        <family val="3"/>
      </rPr>
      <t xml:space="preserve"> color </t>
    </r>
    <r>
      <rPr>
        <sz val="9"/>
        <color rgb="FF0000FF"/>
        <rFont val="Consolas"/>
        <family val="3"/>
      </rPr>
      <t>IN</t>
    </r>
    <r>
      <rPr>
        <sz val="9"/>
        <color rgb="FF212121"/>
        <rFont val="Consolas"/>
        <family val="3"/>
      </rPr>
      <t xml:space="preserve"> (</t>
    </r>
    <r>
      <rPr>
        <sz val="9"/>
        <color rgb="FFA31515"/>
        <rFont val="Consolas"/>
        <family val="3"/>
      </rPr>
      <t>'Silver/Black'</t>
    </r>
    <r>
      <rPr>
        <sz val="9"/>
        <color rgb="FF212121"/>
        <rFont val="Consolas"/>
        <family val="3"/>
      </rPr>
      <t>,</t>
    </r>
    <r>
      <rPr>
        <sz val="9"/>
        <color rgb="FFA31515"/>
        <rFont val="Consolas"/>
        <family val="3"/>
      </rPr>
      <t>'Silver'</t>
    </r>
    <r>
      <rPr>
        <sz val="9"/>
        <color rgb="FF212121"/>
        <rFont val="Consolas"/>
        <family val="3"/>
      </rPr>
      <t>)</t>
    </r>
  </si>
  <si>
    <t>Question3 - N6</t>
  </si>
  <si>
    <t>WHERE color IN ('Silver/Black','Silver')</t>
  </si>
  <si>
    <t>Question4 - O8</t>
  </si>
  <si>
    <r>
      <t>AND</t>
    </r>
    <r>
      <rPr>
        <sz val="9"/>
        <color rgb="FF212121"/>
        <rFont val="Consolas"/>
        <family val="3"/>
      </rPr>
      <t xml:space="preserve"> TerritoryID </t>
    </r>
    <r>
      <rPr>
        <sz val="9"/>
        <color rgb="FF0000FF"/>
        <rFont val="Consolas"/>
        <family val="3"/>
      </rPr>
      <t>IN</t>
    </r>
    <r>
      <rPr>
        <sz val="9"/>
        <color rgb="FF212121"/>
        <rFont val="Consolas"/>
        <family val="3"/>
      </rPr>
      <t xml:space="preserve"> (</t>
    </r>
    <r>
      <rPr>
        <sz val="9"/>
        <color rgb="FF09885A"/>
        <rFont val="Consolas"/>
        <family val="3"/>
      </rPr>
      <t>6</t>
    </r>
    <r>
      <rPr>
        <sz val="9"/>
        <color rgb="FF212121"/>
        <rFont val="Consolas"/>
        <family val="3"/>
      </rPr>
      <t>,</t>
    </r>
    <r>
      <rPr>
        <sz val="9"/>
        <color rgb="FF09885A"/>
        <rFont val="Consolas"/>
        <family val="3"/>
      </rPr>
      <t>7</t>
    </r>
    <r>
      <rPr>
        <sz val="9"/>
        <color rgb="FF212121"/>
        <rFont val="Consolas"/>
        <family val="3"/>
      </rPr>
      <t>,</t>
    </r>
    <r>
      <rPr>
        <sz val="9"/>
        <color rgb="FF09885A"/>
        <rFont val="Consolas"/>
        <family val="3"/>
      </rPr>
      <t>8</t>
    </r>
    <r>
      <rPr>
        <sz val="9"/>
        <color rgb="FF212121"/>
        <rFont val="Consolas"/>
        <family val="3"/>
      </rPr>
      <t>,</t>
    </r>
    <r>
      <rPr>
        <sz val="9"/>
        <color rgb="FF09885A"/>
        <rFont val="Consolas"/>
        <family val="3"/>
      </rPr>
      <t>10</t>
    </r>
    <r>
      <rPr>
        <sz val="9"/>
        <color rgb="FF212121"/>
        <rFont val="Consolas"/>
        <family val="3"/>
      </rPr>
      <t>)</t>
    </r>
  </si>
  <si>
    <t>Question4 - N8</t>
  </si>
  <si>
    <t>AND TerritoryID IN (6,7,8,10)</t>
  </si>
  <si>
    <r>
      <t>WHERE</t>
    </r>
    <r>
      <rPr>
        <sz val="9"/>
        <color rgb="FF212121"/>
        <rFont val="Consolas"/>
        <family val="3"/>
      </rPr>
      <t xml:space="preserve"> ProductID </t>
    </r>
    <r>
      <rPr>
        <sz val="9"/>
        <color rgb="FF0000FF"/>
        <rFont val="Consolas"/>
        <family val="3"/>
      </rPr>
      <t>IN</t>
    </r>
    <r>
      <rPr>
        <sz val="9"/>
        <color rgb="FF212121"/>
        <rFont val="Consolas"/>
        <family val="3"/>
      </rPr>
      <t xml:space="preserve"> (</t>
    </r>
    <r>
      <rPr>
        <sz val="9"/>
        <color rgb="FF09885A"/>
        <rFont val="Consolas"/>
        <family val="3"/>
      </rPr>
      <t>915</t>
    </r>
    <r>
      <rPr>
        <sz val="9"/>
        <color rgb="FF212121"/>
        <rFont val="Consolas"/>
        <family val="3"/>
      </rPr>
      <t xml:space="preserve">, </t>
    </r>
    <r>
      <rPr>
        <sz val="9"/>
        <color rgb="FF09885A"/>
        <rFont val="Consolas"/>
        <family val="3"/>
      </rPr>
      <t>887</t>
    </r>
    <r>
      <rPr>
        <sz val="9"/>
        <color rgb="FF212121"/>
        <rFont val="Consolas"/>
        <family val="3"/>
      </rPr>
      <t xml:space="preserve">, </t>
    </r>
    <r>
      <rPr>
        <sz val="9"/>
        <color rgb="FF09885A"/>
        <rFont val="Consolas"/>
        <family val="3"/>
      </rPr>
      <t>946</t>
    </r>
    <r>
      <rPr>
        <sz val="9"/>
        <color rgb="FF212121"/>
        <rFont val="Consolas"/>
        <family val="3"/>
      </rPr>
      <t xml:space="preserve">, </t>
    </r>
    <r>
      <rPr>
        <sz val="9"/>
        <color rgb="FF09885A"/>
        <rFont val="Consolas"/>
        <family val="3"/>
      </rPr>
      <t>950</t>
    </r>
    <r>
      <rPr>
        <sz val="9"/>
        <color rgb="FF212121"/>
        <rFont val="Consolas"/>
        <family val="3"/>
      </rPr>
      <t>)</t>
    </r>
  </si>
  <si>
    <t>Question7 - N5</t>
  </si>
  <si>
    <t>WHERE ProductID IN (915, 887, 946, 950)</t>
  </si>
  <si>
    <r>
      <t>WHERE</t>
    </r>
    <r>
      <rPr>
        <sz val="9"/>
        <color rgb="FF212121"/>
        <rFont val="Consolas"/>
        <family val="3"/>
      </rPr>
      <t xml:space="preserve"> ProductID </t>
    </r>
    <r>
      <rPr>
        <sz val="9"/>
        <color rgb="FF0000FF"/>
        <rFont val="Consolas"/>
        <family val="3"/>
      </rPr>
      <t>IN</t>
    </r>
    <r>
      <rPr>
        <sz val="9"/>
        <color rgb="FF212121"/>
        <rFont val="Consolas"/>
        <family val="3"/>
      </rPr>
      <t xml:space="preserve"> (</t>
    </r>
    <r>
      <rPr>
        <sz val="9"/>
        <color rgb="FF09885A"/>
        <rFont val="Consolas"/>
        <family val="3"/>
      </rPr>
      <t>900</t>
    </r>
    <r>
      <rPr>
        <sz val="9"/>
        <color rgb="FF212121"/>
        <rFont val="Consolas"/>
        <family val="3"/>
      </rPr>
      <t xml:space="preserve">, </t>
    </r>
    <r>
      <rPr>
        <sz val="9"/>
        <color rgb="FF09885A"/>
        <rFont val="Consolas"/>
        <family val="3"/>
      </rPr>
      <t>806</t>
    </r>
    <r>
      <rPr>
        <sz val="9"/>
        <color rgb="FF212121"/>
        <rFont val="Consolas"/>
        <family val="3"/>
      </rPr>
      <t xml:space="preserve">, </t>
    </r>
    <r>
      <rPr>
        <sz val="9"/>
        <color rgb="FF09885A"/>
        <rFont val="Consolas"/>
        <family val="3"/>
      </rPr>
      <t>921</t>
    </r>
    <r>
      <rPr>
        <sz val="9"/>
        <color rgb="FF212121"/>
        <rFont val="Consolas"/>
        <family val="3"/>
      </rPr>
      <t xml:space="preserve">, </t>
    </r>
    <r>
      <rPr>
        <sz val="9"/>
        <color rgb="FF09885A"/>
        <rFont val="Consolas"/>
        <family val="3"/>
      </rPr>
      <t>711</t>
    </r>
    <r>
      <rPr>
        <sz val="9"/>
        <color rgb="FF212121"/>
        <rFont val="Consolas"/>
        <family val="3"/>
      </rPr>
      <t>)</t>
    </r>
  </si>
  <si>
    <t>Question7 - N9</t>
  </si>
  <si>
    <t>WHERE ProductID IN (900, 806, 921, 711)</t>
  </si>
  <si>
    <t>Question3 - D6</t>
  </si>
  <si>
    <t>Question7 - D6</t>
  </si>
  <si>
    <t>Question1 - 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</si>
</sst>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 #,##0_);_(* \(#,##0\);_(* &quot;-&quot;??_);_(@_)"/>
    <numFmt numFmtId="166" formatCode="m/d/yy\ h:mm;@"/>
    <numFmt numFmtId="167" formatCode="_(* #,##0.0000_);_(* \(#,##0.0000\);_(* &quot;-&quot;??_);_(@_)"/>
    <numFmt numFmtId="168" formatCode="0.0"/>
    <numFmt numFmtId="169" formatCode="yyyy/mm/dd;@"/>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000000"/>
      <name val="Consolas"/>
      <family val="3"/>
    </font>
    <font>
      <sz val="7"/>
      <color rgb="FFA31515"/>
      <name val="Consolas"/>
      <family val="3"/>
    </font>
    <font>
      <sz val="7"/>
      <color rgb="FF09885A"/>
      <name val="Consolas"/>
      <family val="3"/>
    </font>
    <font>
      <sz val="10"/>
      <color theme="1"/>
      <name val="Calibri"/>
      <family val="2"/>
      <scheme val="minor"/>
    </font>
    <font>
      <sz val="9"/>
      <color rgb="FF212121"/>
      <name val="Consolas"/>
      <family val="3"/>
    </font>
    <font>
      <sz val="9"/>
      <color rgb="FF0000FF"/>
      <name val="Consolas"/>
      <family val="3"/>
    </font>
    <font>
      <sz val="9"/>
      <color rgb="FFA31515"/>
      <name val="Consolas"/>
      <family val="3"/>
    </font>
    <font>
      <sz val="9"/>
      <color rgb="FF000000"/>
      <name val="Consolas"/>
      <family val="3"/>
    </font>
    <font>
      <sz val="9"/>
      <color rgb="FF09885A"/>
      <name val="Consolas"/>
      <family val="3"/>
    </font>
    <font>
      <sz val="11"/>
      <color rgb="FF212121"/>
      <name val="Calibri"/>
      <family val="2"/>
      <scheme val="minor"/>
    </font>
    <font>
      <sz val="11"/>
      <color rgb="FF0000FF"/>
      <name val="Calibri"/>
      <family val="2"/>
      <scheme val="minor"/>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36">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18" fillId="0" borderId="0" xfId="0" applyFont="1" applyAlignment="1">
      <alignment vertical="center"/>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47" fontId="0" fillId="0" borderId="0" xfId="0" applyNumberFormat="1"/>
    <xf numFmtId="0" fontId="20" fillId="0" borderId="0" xfId="0" applyFont="1"/>
    <xf numFmtId="2" fontId="5" fillId="2" borderId="14" xfId="0" applyNumberFormat="1" applyFont="1" applyFill="1" applyBorder="1" applyAlignment="1">
      <alignment vertical="center"/>
    </xf>
    <xf numFmtId="2" fontId="5" fillId="2" borderId="18" xfId="0" applyNumberFormat="1" applyFont="1" applyFill="1" applyBorder="1" applyAlignment="1">
      <alignment vertical="center"/>
    </xf>
    <xf numFmtId="0" fontId="1" fillId="2" borderId="3" xfId="0" applyFont="1" applyFill="1" applyBorder="1" applyAlignment="1">
      <alignment horizontal="center" vertical="center"/>
    </xf>
    <xf numFmtId="2" fontId="1" fillId="2" borderId="14" xfId="0" applyNumberFormat="1" applyFont="1" applyFill="1" applyBorder="1" applyAlignment="1">
      <alignment vertical="center"/>
    </xf>
    <xf numFmtId="168" fontId="0" fillId="2" borderId="10" xfId="0" applyNumberFormat="1" applyFill="1" applyBorder="1" applyAlignment="1">
      <alignment horizontal="center" vertical="center"/>
    </xf>
    <xf numFmtId="168" fontId="1" fillId="2" borderId="10" xfId="0" applyNumberFormat="1" applyFont="1" applyFill="1" applyBorder="1" applyAlignment="1">
      <alignment horizontal="center" vertical="center"/>
    </xf>
    <xf numFmtId="2" fontId="1" fillId="2" borderId="18" xfId="0" applyNumberFormat="1" applyFont="1" applyFill="1" applyBorder="1" applyAlignment="1">
      <alignment vertical="center"/>
    </xf>
    <xf numFmtId="168" fontId="1" fillId="2" borderId="18" xfId="0" applyNumberFormat="1" applyFont="1" applyFill="1" applyBorder="1" applyAlignment="1">
      <alignment horizontal="center" vertical="center"/>
    </xf>
    <xf numFmtId="2" fontId="1" fillId="2" borderId="12" xfId="0" applyNumberFormat="1" applyFont="1" applyFill="1" applyBorder="1" applyAlignment="1">
      <alignment vertical="center"/>
    </xf>
    <xf numFmtId="2" fontId="1" fillId="2" borderId="12" xfId="0" applyNumberFormat="1" applyFont="1" applyFill="1" applyBorder="1" applyAlignment="1">
      <alignment horizontal="center" vertical="center"/>
    </xf>
    <xf numFmtId="0" fontId="15" fillId="6" borderId="0" xfId="0" applyFont="1" applyFill="1" applyAlignment="1">
      <alignment vertical="center"/>
    </xf>
    <xf numFmtId="0" fontId="0" fillId="0" borderId="0" xfId="0" applyAlignment="1"/>
    <xf numFmtId="169" fontId="0" fillId="6" borderId="0" xfId="0" applyNumberFormat="1" applyFill="1"/>
    <xf numFmtId="169" fontId="0" fillId="0" borderId="0" xfId="0" applyNumberFormat="1"/>
    <xf numFmtId="22" fontId="0" fillId="0" borderId="0" xfId="0" applyNumberFormat="1"/>
    <xf numFmtId="0" fontId="22" fillId="0" borderId="0" xfId="0" applyFont="1" applyAlignment="1">
      <alignment vertical="center"/>
    </xf>
    <xf numFmtId="0" fontId="26" fillId="6" borderId="0" xfId="0" applyFont="1" applyFill="1" applyAlignment="1">
      <alignment vertical="center"/>
    </xf>
    <xf numFmtId="0" fontId="27" fillId="0" borderId="0" xfId="0" applyFont="1" applyAlignment="1">
      <alignment vertical="center"/>
    </xf>
    <xf numFmtId="0" fontId="26"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49" fontId="14" fillId="0" borderId="0" xfId="0" applyNumberFormat="1" applyFont="1" applyAlignment="1">
      <alignment wrapText="1"/>
    </xf>
    <xf numFmtId="49" fontId="0" fillId="0" borderId="0" xfId="0" applyNumberFormat="1" applyAlignment="1"/>
    <xf numFmtId="0" fontId="14" fillId="0" borderId="0" xfId="0" applyFont="1" applyAlignment="1">
      <alignment wrapText="1"/>
    </xf>
    <xf numFmtId="0" fontId="0" fillId="0" borderId="0" xfId="0" applyAlignment="1"/>
    <xf numFmtId="0" fontId="0" fillId="0" borderId="0" xfId="0" applyAlignment="1">
      <alignment wrapText="1"/>
    </xf>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190500</xdr:colOff>
      <xdr:row>13</xdr:row>
      <xdr:rowOff>26670</xdr:rowOff>
    </xdr:from>
    <xdr:to>
      <xdr:col>14</xdr:col>
      <xdr:colOff>45720</xdr:colOff>
      <xdr:row>31</xdr:row>
      <xdr:rowOff>142875</xdr:rowOff>
    </xdr:to>
    <xdr:pic>
      <xdr:nvPicPr>
        <xdr:cNvPr id="2" name="Picture 1">
          <a:extLst>
            <a:ext uri="{FF2B5EF4-FFF2-40B4-BE49-F238E27FC236}">
              <a16:creationId xmlns:a16="http://schemas.microsoft.com/office/drawing/2014/main" id="{D3A31F69-7464-4AD6-AEE5-CC2ABBDC37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5100" y="2807970"/>
          <a:ext cx="2903220" cy="35452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workbookViewId="0">
      <selection activeCell="L16" sqref="L16"/>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68</v>
      </c>
    </row>
    <row r="2" spans="1:12" x14ac:dyDescent="0.25">
      <c r="A2" s="15"/>
    </row>
    <row r="3" spans="1:12" x14ac:dyDescent="0.25">
      <c r="A3" s="18"/>
    </row>
    <row r="4" spans="1:12" ht="18.75" x14ac:dyDescent="0.25">
      <c r="I4" s="85" t="s">
        <v>157</v>
      </c>
    </row>
    <row r="5" spans="1:12" ht="19.5" x14ac:dyDescent="0.25">
      <c r="A5" s="19"/>
      <c r="I5" s="19" t="s">
        <v>184</v>
      </c>
    </row>
    <row r="6" spans="1:12" x14ac:dyDescent="0.25">
      <c r="I6" s="15" t="s">
        <v>48</v>
      </c>
    </row>
    <row r="7" spans="1:12" x14ac:dyDescent="0.25">
      <c r="I7" s="20" t="s">
        <v>48</v>
      </c>
    </row>
    <row r="8" spans="1:12" x14ac:dyDescent="0.25">
      <c r="I8" s="15" t="s">
        <v>48</v>
      </c>
    </row>
    <row r="9" spans="1:12" ht="15.75" thickBot="1" x14ac:dyDescent="0.3"/>
    <row r="10" spans="1:12" ht="15.75" thickBot="1" x14ac:dyDescent="0.3">
      <c r="F10" s="21" t="s">
        <v>53</v>
      </c>
      <c r="H10" s="124" t="s">
        <v>541</v>
      </c>
      <c r="I10" s="125"/>
      <c r="J10" s="126"/>
      <c r="K10" s="22"/>
      <c r="L10" s="22"/>
    </row>
    <row r="11" spans="1:12" x14ac:dyDescent="0.25">
      <c r="A11" s="21"/>
      <c r="H11" s="76" t="s">
        <v>537</v>
      </c>
      <c r="J11" s="73"/>
    </row>
    <row r="12" spans="1:12" x14ac:dyDescent="0.25">
      <c r="D12" s="74"/>
      <c r="F12" s="21" t="s">
        <v>91</v>
      </c>
    </row>
    <row r="13" spans="1:12" x14ac:dyDescent="0.25">
      <c r="F13" s="23" t="s">
        <v>158</v>
      </c>
    </row>
    <row r="14" spans="1:12" x14ac:dyDescent="0.25">
      <c r="A14" s="23" t="s">
        <v>48</v>
      </c>
      <c r="H14" s="46"/>
    </row>
    <row r="15" spans="1:12" x14ac:dyDescent="0.25">
      <c r="F15" s="21" t="s">
        <v>50</v>
      </c>
    </row>
    <row r="16" spans="1:12" x14ac:dyDescent="0.25">
      <c r="F16" s="24" t="s">
        <v>93</v>
      </c>
      <c r="G16" s="16" t="s">
        <v>159</v>
      </c>
    </row>
    <row r="17" spans="1:14" x14ac:dyDescent="0.25">
      <c r="F17" s="24" t="s">
        <v>93</v>
      </c>
      <c r="G17" s="16" t="s">
        <v>92</v>
      </c>
    </row>
    <row r="18" spans="1:14" x14ac:dyDescent="0.25">
      <c r="F18" s="24" t="s">
        <v>93</v>
      </c>
      <c r="G18" s="16" t="s">
        <v>163</v>
      </c>
    </row>
    <row r="19" spans="1:14" x14ac:dyDescent="0.25">
      <c r="F19" s="24" t="s">
        <v>93</v>
      </c>
      <c r="G19" s="16" t="s">
        <v>169</v>
      </c>
    </row>
    <row r="20" spans="1:14" ht="15.75" thickBot="1" x14ac:dyDescent="0.3">
      <c r="A20" s="25"/>
      <c r="F20" s="24"/>
    </row>
    <row r="21" spans="1:14" ht="30.75" thickBot="1" x14ac:dyDescent="0.3">
      <c r="H21" s="26" t="s">
        <v>113</v>
      </c>
      <c r="I21" s="27"/>
      <c r="J21" s="28" t="s">
        <v>51</v>
      </c>
      <c r="K21" s="28" t="s">
        <v>52</v>
      </c>
    </row>
    <row r="22" spans="1:14" ht="15.75" thickBot="1" x14ac:dyDescent="0.3">
      <c r="H22" s="29">
        <v>1</v>
      </c>
      <c r="I22" s="105"/>
      <c r="J22" s="70"/>
      <c r="K22" s="30">
        <v>10</v>
      </c>
    </row>
    <row r="23" spans="1:14" ht="15.75" thickBot="1" x14ac:dyDescent="0.3">
      <c r="H23" s="29">
        <v>2</v>
      </c>
      <c r="I23" s="105"/>
      <c r="J23" s="70"/>
      <c r="K23" s="30">
        <v>10</v>
      </c>
    </row>
    <row r="24" spans="1:14" ht="15.75" thickBot="1" x14ac:dyDescent="0.3">
      <c r="H24" s="29">
        <v>3</v>
      </c>
      <c r="I24" s="105"/>
      <c r="J24" s="70"/>
      <c r="K24" s="30">
        <v>10</v>
      </c>
    </row>
    <row r="25" spans="1:14" ht="15.75" thickBot="1" x14ac:dyDescent="0.3">
      <c r="H25" s="29">
        <v>4</v>
      </c>
      <c r="I25" s="105"/>
      <c r="J25" s="70"/>
      <c r="K25" s="30">
        <v>10</v>
      </c>
    </row>
    <row r="26" spans="1:14" ht="15.75" thickBot="1" x14ac:dyDescent="0.3">
      <c r="H26" s="29">
        <v>5</v>
      </c>
      <c r="I26" s="105"/>
      <c r="J26" s="70"/>
      <c r="K26" s="30">
        <v>10</v>
      </c>
    </row>
    <row r="27" spans="1:14" ht="15.75" thickBot="1" x14ac:dyDescent="0.3">
      <c r="F27" s="40">
        <v>0</v>
      </c>
      <c r="H27" s="29">
        <v>6</v>
      </c>
      <c r="I27" s="105"/>
      <c r="J27" s="71"/>
      <c r="K27" s="30">
        <v>10</v>
      </c>
      <c r="L27" s="80">
        <f>J27/K27</f>
        <v>0</v>
      </c>
    </row>
    <row r="28" spans="1:14" ht="15.75" thickBot="1" x14ac:dyDescent="0.3">
      <c r="H28" s="97">
        <v>7</v>
      </c>
      <c r="I28" s="106"/>
      <c r="J28" s="99"/>
      <c r="K28" s="30">
        <v>10</v>
      </c>
      <c r="L28" s="80"/>
    </row>
    <row r="29" spans="1:14" x14ac:dyDescent="0.25">
      <c r="H29" s="98" t="s">
        <v>181</v>
      </c>
      <c r="I29" s="102">
        <f>SUM(I22:I28)</f>
        <v>0</v>
      </c>
      <c r="J29" s="100"/>
      <c r="K29" s="101"/>
      <c r="L29" s="80"/>
    </row>
    <row r="30" spans="1:14" x14ac:dyDescent="0.25">
      <c r="H30" s="31"/>
      <c r="I30" s="32"/>
      <c r="J30" s="96"/>
      <c r="K30" s="31"/>
      <c r="L30" s="80"/>
    </row>
    <row r="31" spans="1:14" ht="15.75" thickBot="1" x14ac:dyDescent="0.3">
      <c r="F31" s="42"/>
      <c r="H31" s="31"/>
      <c r="I31" s="32"/>
      <c r="J31" s="32"/>
      <c r="K31" s="31"/>
    </row>
    <row r="32" spans="1:14" x14ac:dyDescent="0.25">
      <c r="F32" s="75"/>
      <c r="G32" s="33"/>
      <c r="H32" s="33"/>
      <c r="I32" s="33"/>
      <c r="J32" s="33"/>
      <c r="K32" s="33"/>
      <c r="L32" s="33"/>
      <c r="M32" s="34"/>
      <c r="N32" s="11"/>
    </row>
    <row r="33" spans="1:18" ht="33.6" customHeight="1" x14ac:dyDescent="0.25">
      <c r="F33" s="35" t="s">
        <v>93</v>
      </c>
      <c r="G33" s="127" t="s">
        <v>57</v>
      </c>
      <c r="H33" s="127"/>
      <c r="I33" s="127"/>
      <c r="J33" s="127"/>
      <c r="K33" s="127"/>
      <c r="L33" s="127"/>
      <c r="M33" s="128"/>
      <c r="N33" s="72"/>
    </row>
    <row r="34" spans="1:18" ht="32.1" customHeight="1" thickBot="1" x14ac:dyDescent="0.3">
      <c r="F34" s="36" t="s">
        <v>93</v>
      </c>
      <c r="G34" s="129" t="s">
        <v>58</v>
      </c>
      <c r="H34" s="129"/>
      <c r="I34" s="129"/>
      <c r="J34" s="129"/>
      <c r="K34" s="129"/>
      <c r="L34" s="129"/>
      <c r="M34" s="130"/>
      <c r="N34" s="72"/>
    </row>
    <row r="36" spans="1:18" x14ac:dyDescent="0.25">
      <c r="A36" s="11"/>
      <c r="B36" s="11"/>
      <c r="C36" s="11"/>
      <c r="D36" s="11"/>
      <c r="E36" s="11"/>
      <c r="F36" s="11"/>
      <c r="G36" s="11"/>
      <c r="H36" s="11"/>
      <c r="I36" s="11"/>
      <c r="J36" s="11"/>
      <c r="K36" s="11"/>
      <c r="L36" s="11"/>
      <c r="M36" s="11"/>
      <c r="N36" s="11"/>
      <c r="O36" s="11"/>
      <c r="P36" s="11"/>
      <c r="Q36" s="11"/>
      <c r="R36" s="11"/>
    </row>
    <row r="37" spans="1:18" x14ac:dyDescent="0.25">
      <c r="A37" s="39"/>
      <c r="B37" s="39"/>
      <c r="C37" s="39"/>
      <c r="D37" s="39"/>
      <c r="E37" s="39"/>
      <c r="F37" s="39"/>
      <c r="G37" s="39"/>
      <c r="H37" s="39"/>
      <c r="I37" s="39"/>
      <c r="J37" s="77"/>
      <c r="K37" s="77"/>
      <c r="L37" s="77"/>
      <c r="M37" s="77"/>
      <c r="N37" s="77"/>
      <c r="O37" s="77"/>
      <c r="P37" s="77"/>
      <c r="Q37" s="11"/>
      <c r="R37" s="11"/>
    </row>
    <row r="38" spans="1:18" s="40" customFormat="1" ht="45" x14ac:dyDescent="0.25">
      <c r="A38" s="39" t="s">
        <v>113</v>
      </c>
      <c r="D38" s="37" t="s">
        <v>114</v>
      </c>
      <c r="E38" s="37" t="s">
        <v>115</v>
      </c>
      <c r="F38" s="48" t="s">
        <v>116</v>
      </c>
      <c r="G38" s="49" t="s">
        <v>117</v>
      </c>
      <c r="H38" s="37" t="s">
        <v>118</v>
      </c>
      <c r="J38" s="79"/>
      <c r="K38" s="47"/>
      <c r="L38" s="47"/>
      <c r="M38" s="47"/>
      <c r="N38" s="47"/>
      <c r="O38" s="47"/>
      <c r="P38" s="47"/>
      <c r="Q38" s="39"/>
      <c r="R38" s="39"/>
    </row>
    <row r="39" spans="1:18" s="38" customFormat="1" ht="30" x14ac:dyDescent="0.25">
      <c r="A39" s="37">
        <v>1</v>
      </c>
      <c r="B39" s="48" t="s">
        <v>119</v>
      </c>
      <c r="C39" s="38" t="s">
        <v>120</v>
      </c>
      <c r="D39" s="39" t="s">
        <v>67</v>
      </c>
      <c r="E39" s="50">
        <v>40000</v>
      </c>
      <c r="F39" s="39">
        <v>1</v>
      </c>
      <c r="G39" s="51" t="e">
        <f>#REF!</f>
        <v>#REF!</v>
      </c>
      <c r="H39" s="52">
        <f>gradeGenericQuestionRange(D39,E39:F42,1,G39)</f>
        <v>0</v>
      </c>
      <c r="J39" s="79"/>
      <c r="K39" s="77"/>
      <c r="L39" s="81"/>
      <c r="M39" s="77"/>
      <c r="N39" s="77"/>
      <c r="O39" s="77"/>
      <c r="P39" s="77"/>
      <c r="Q39" s="37"/>
      <c r="R39" s="37"/>
    </row>
    <row r="40" spans="1:18" s="40" customFormat="1" x14ac:dyDescent="0.25">
      <c r="A40" s="39"/>
      <c r="D40" s="39"/>
      <c r="E40" s="50">
        <v>-40000</v>
      </c>
      <c r="F40" s="40">
        <v>1</v>
      </c>
      <c r="G40" s="50"/>
      <c r="H40" s="52"/>
      <c r="J40" s="47"/>
      <c r="K40" s="77"/>
      <c r="L40" s="81"/>
      <c r="M40" s="77"/>
      <c r="N40" s="77"/>
      <c r="O40" s="77"/>
      <c r="P40" s="77"/>
      <c r="Q40" s="39"/>
      <c r="R40" s="39"/>
    </row>
    <row r="41" spans="1:18" s="40" customFormat="1" x14ac:dyDescent="0.25">
      <c r="A41" s="39"/>
      <c r="D41" s="39"/>
      <c r="E41" s="50">
        <v>65000</v>
      </c>
      <c r="F41" s="40">
        <v>0.5</v>
      </c>
      <c r="G41" s="50"/>
      <c r="H41" s="54"/>
      <c r="J41" s="47"/>
      <c r="K41" s="77"/>
      <c r="L41" s="81"/>
      <c r="M41" s="77"/>
      <c r="N41" s="77"/>
      <c r="O41" s="77"/>
      <c r="P41" s="77"/>
      <c r="Q41" s="39"/>
      <c r="R41" s="39"/>
    </row>
    <row r="42" spans="1:18" s="40" customFormat="1" x14ac:dyDescent="0.25">
      <c r="A42" s="39"/>
      <c r="D42" s="39"/>
      <c r="E42" s="50">
        <f>E39*8/12</f>
        <v>26666.666666666668</v>
      </c>
      <c r="F42" s="40">
        <v>0.5</v>
      </c>
      <c r="G42" s="50"/>
      <c r="H42" s="54"/>
      <c r="J42" s="47"/>
      <c r="K42" s="77"/>
      <c r="L42" s="81"/>
      <c r="M42" s="77"/>
      <c r="N42" s="77"/>
      <c r="O42" s="77"/>
      <c r="P42" s="77"/>
      <c r="Q42" s="39"/>
      <c r="R42" s="39"/>
    </row>
    <row r="43" spans="1:18" s="40" customFormat="1" ht="30" x14ac:dyDescent="0.25">
      <c r="A43" s="39"/>
      <c r="B43" s="39"/>
      <c r="C43" s="55" t="s">
        <v>121</v>
      </c>
      <c r="D43" s="39" t="s">
        <v>67</v>
      </c>
      <c r="E43" s="50">
        <v>12000</v>
      </c>
      <c r="F43" s="39">
        <v>1</v>
      </c>
      <c r="G43" s="50" t="e">
        <f>#REF!</f>
        <v>#REF!</v>
      </c>
      <c r="H43" s="52" t="str">
        <f>gradeGenericQuestion(D43,E43:E44,F43,G43)</f>
        <v>2Exception</v>
      </c>
      <c r="J43" s="78"/>
      <c r="K43" s="77"/>
      <c r="L43" s="77"/>
      <c r="M43" s="77"/>
      <c r="N43" s="77"/>
      <c r="O43" s="77"/>
      <c r="P43" s="77"/>
      <c r="Q43" s="39"/>
      <c r="R43" s="39"/>
    </row>
    <row r="44" spans="1:18" s="40" customFormat="1" x14ac:dyDescent="0.25">
      <c r="A44" s="39"/>
      <c r="B44" s="39"/>
      <c r="C44" s="39"/>
      <c r="D44" s="39"/>
      <c r="E44" s="50">
        <v>-12000</v>
      </c>
      <c r="F44" s="40">
        <v>1</v>
      </c>
      <c r="G44" s="50"/>
      <c r="H44" s="54"/>
      <c r="J44" s="77"/>
      <c r="K44" s="77"/>
      <c r="L44" s="78"/>
      <c r="M44" s="78"/>
      <c r="N44" s="78"/>
      <c r="O44" s="77"/>
      <c r="P44" s="77"/>
      <c r="Q44" s="39"/>
      <c r="R44" s="39"/>
    </row>
    <row r="45" spans="1:18" s="40" customFormat="1" x14ac:dyDescent="0.25">
      <c r="A45" s="39"/>
      <c r="B45" s="39"/>
      <c r="C45" s="39" t="s">
        <v>122</v>
      </c>
      <c r="D45" s="39" t="s">
        <v>67</v>
      </c>
      <c r="E45" s="50">
        <v>8671.75</v>
      </c>
      <c r="F45" s="39">
        <v>1</v>
      </c>
      <c r="G45" s="50" t="e">
        <f>#REF!</f>
        <v>#REF!</v>
      </c>
      <c r="H45" s="52">
        <f>gradeGenericQuestionRange(D45,E45:F49,1,G45)</f>
        <v>0</v>
      </c>
      <c r="J45" s="78"/>
      <c r="K45" s="77"/>
      <c r="L45" s="77"/>
      <c r="M45" s="78"/>
      <c r="N45" s="78"/>
      <c r="O45" s="77"/>
      <c r="P45" s="77"/>
      <c r="Q45" s="39"/>
      <c r="R45" s="39"/>
    </row>
    <row r="46" spans="1:18" s="40" customFormat="1" x14ac:dyDescent="0.25">
      <c r="A46" s="39"/>
      <c r="B46" s="39"/>
      <c r="C46" s="39"/>
      <c r="D46" s="39"/>
      <c r="E46" s="50">
        <v>8672</v>
      </c>
      <c r="F46" s="39">
        <v>1</v>
      </c>
      <c r="G46" s="50"/>
      <c r="H46" s="56"/>
      <c r="J46" s="78"/>
      <c r="K46" s="77"/>
      <c r="L46" s="82"/>
      <c r="M46" s="47"/>
      <c r="N46" s="78"/>
      <c r="O46" s="77"/>
      <c r="P46" s="77"/>
      <c r="Q46" s="39"/>
      <c r="R46" s="39"/>
    </row>
    <row r="47" spans="1:18" s="40" customFormat="1" x14ac:dyDescent="0.25">
      <c r="A47" s="39"/>
      <c r="B47" s="39"/>
      <c r="C47" s="39"/>
      <c r="D47" s="39"/>
      <c r="E47" s="50">
        <v>-8671.75</v>
      </c>
      <c r="F47" s="40">
        <v>1</v>
      </c>
      <c r="G47" s="57"/>
      <c r="H47" s="56"/>
      <c r="J47" s="78"/>
      <c r="K47" s="77"/>
      <c r="L47" s="78"/>
      <c r="M47" s="78"/>
      <c r="N47" s="77"/>
      <c r="O47" s="77"/>
      <c r="P47" s="77"/>
      <c r="Q47" s="39"/>
      <c r="R47" s="39"/>
    </row>
    <row r="48" spans="1:18" s="40" customFormat="1" x14ac:dyDescent="0.25">
      <c r="A48" s="39"/>
      <c r="B48" s="39"/>
      <c r="C48" s="39"/>
      <c r="D48" s="39"/>
      <c r="E48" s="50">
        <v>-8672</v>
      </c>
      <c r="F48" s="40">
        <v>1</v>
      </c>
      <c r="G48" s="57"/>
      <c r="H48" s="54"/>
      <c r="J48" s="77"/>
      <c r="K48" s="77"/>
      <c r="L48" s="78"/>
      <c r="M48" s="78"/>
      <c r="N48" s="78"/>
      <c r="O48" s="77"/>
      <c r="P48" s="77"/>
      <c r="Q48" s="39"/>
      <c r="R48" s="39"/>
    </row>
    <row r="49" spans="1:18" s="40" customFormat="1" x14ac:dyDescent="0.25">
      <c r="A49" s="39"/>
      <c r="B49" s="39"/>
      <c r="C49" s="39"/>
      <c r="D49" s="39"/>
      <c r="E49" s="50">
        <f>(80000-10000)*2/8</f>
        <v>17500</v>
      </c>
      <c r="F49" s="40">
        <v>0.5</v>
      </c>
      <c r="G49" s="57"/>
      <c r="H49" s="54"/>
      <c r="J49" s="77"/>
      <c r="K49" s="77"/>
      <c r="L49" s="78"/>
      <c r="M49" s="78"/>
      <c r="N49" s="78"/>
      <c r="O49" s="77"/>
      <c r="P49" s="77"/>
      <c r="Q49" s="39"/>
      <c r="R49" s="39"/>
    </row>
    <row r="50" spans="1:18" s="40" customFormat="1" ht="30" x14ac:dyDescent="0.25">
      <c r="A50" s="39"/>
      <c r="B50" s="39"/>
      <c r="C50" s="55" t="s">
        <v>123</v>
      </c>
      <c r="D50" s="39" t="s">
        <v>67</v>
      </c>
      <c r="E50" s="50">
        <v>5400</v>
      </c>
      <c r="F50" s="40">
        <v>1</v>
      </c>
      <c r="G50" s="57" t="e">
        <f>#REF!</f>
        <v>#REF!</v>
      </c>
      <c r="H50" s="52">
        <f>gradeGenericQuestionRange(D50,E50:F52,1,G50)</f>
        <v>0</v>
      </c>
      <c r="J50" s="77"/>
      <c r="K50" s="83"/>
      <c r="L50" s="77"/>
      <c r="M50" s="77"/>
      <c r="N50" s="77"/>
      <c r="O50" s="77"/>
      <c r="P50" s="77"/>
      <c r="Q50" s="39"/>
      <c r="R50" s="39"/>
    </row>
    <row r="51" spans="1:18" s="40" customFormat="1" x14ac:dyDescent="0.25">
      <c r="A51" s="39"/>
      <c r="B51" s="39"/>
      <c r="C51" s="39"/>
      <c r="D51" s="37"/>
      <c r="E51" s="50">
        <v>-5400</v>
      </c>
      <c r="F51" s="40">
        <v>1</v>
      </c>
      <c r="G51" s="57"/>
      <c r="H51" s="53"/>
      <c r="J51" s="77"/>
      <c r="K51" s="83"/>
      <c r="L51" s="78"/>
      <c r="M51" s="78"/>
      <c r="N51" s="47"/>
      <c r="O51" s="77"/>
      <c r="P51" s="82"/>
      <c r="Q51" s="39"/>
      <c r="R51" s="39"/>
    </row>
    <row r="52" spans="1:18" s="40" customFormat="1" x14ac:dyDescent="0.25">
      <c r="A52" s="39"/>
      <c r="B52" s="39"/>
      <c r="C52" s="39"/>
      <c r="D52" s="39"/>
      <c r="E52" s="50">
        <f>100000/500000*30000</f>
        <v>6000</v>
      </c>
      <c r="F52" s="40">
        <v>0.5</v>
      </c>
      <c r="G52" s="57"/>
      <c r="H52" s="53"/>
      <c r="J52" s="77"/>
      <c r="K52" s="83"/>
      <c r="L52" s="77"/>
      <c r="M52" s="77"/>
      <c r="N52" s="77"/>
      <c r="O52" s="77"/>
      <c r="P52" s="78"/>
      <c r="Q52" s="37"/>
      <c r="R52" s="39"/>
    </row>
    <row r="53" spans="1:18" s="40" customFormat="1" x14ac:dyDescent="0.25">
      <c r="A53" s="39"/>
      <c r="B53" s="37"/>
      <c r="C53" s="39"/>
      <c r="D53" s="39"/>
      <c r="E53" s="50"/>
      <c r="F53" s="39"/>
      <c r="G53" s="50"/>
      <c r="J53" s="77"/>
      <c r="K53" s="77"/>
      <c r="L53" s="77"/>
      <c r="M53" s="77"/>
      <c r="N53" s="77"/>
      <c r="O53" s="77"/>
      <c r="P53" s="77"/>
      <c r="R53" s="39"/>
    </row>
    <row r="54" spans="1:18" s="40" customFormat="1" x14ac:dyDescent="0.25">
      <c r="A54" s="37">
        <v>1</v>
      </c>
      <c r="B54" s="37" t="s">
        <v>124</v>
      </c>
      <c r="C54" s="37" t="s">
        <v>120</v>
      </c>
      <c r="D54" s="39" t="s">
        <v>67</v>
      </c>
      <c r="E54" s="50">
        <v>266667</v>
      </c>
      <c r="F54" s="39">
        <v>1</v>
      </c>
      <c r="G54" s="57" t="e">
        <f>#REF!</f>
        <v>#REF!</v>
      </c>
      <c r="H54" s="52" t="str">
        <f>gradeGenericQuestion(D54,E54:E55,F54,G54)</f>
        <v>2Exception</v>
      </c>
      <c r="J54" s="77"/>
      <c r="K54" s="77"/>
      <c r="L54" s="77"/>
      <c r="M54" s="77"/>
      <c r="N54" s="77"/>
      <c r="O54" s="77"/>
      <c r="P54" s="77"/>
      <c r="Q54" s="39"/>
      <c r="R54" s="39"/>
    </row>
    <row r="55" spans="1:18" s="40" customFormat="1" x14ac:dyDescent="0.25">
      <c r="A55" s="37"/>
      <c r="B55" s="37"/>
      <c r="C55" s="37"/>
      <c r="D55" s="37"/>
      <c r="E55" s="50">
        <f>226667+65000</f>
        <v>291667</v>
      </c>
      <c r="F55" s="39">
        <v>1</v>
      </c>
      <c r="G55" s="50"/>
      <c r="H55" s="58"/>
      <c r="J55" s="77"/>
      <c r="K55" s="77"/>
      <c r="L55" s="77"/>
      <c r="M55" s="77"/>
      <c r="N55" s="77"/>
      <c r="O55" s="77"/>
      <c r="P55" s="77"/>
      <c r="Q55" s="39"/>
      <c r="R55" s="39"/>
    </row>
    <row r="56" spans="1:18" s="40" customFormat="1" x14ac:dyDescent="0.25">
      <c r="A56" s="37"/>
      <c r="B56" s="39"/>
      <c r="C56" s="39"/>
      <c r="D56" s="37"/>
      <c r="E56" s="50"/>
      <c r="G56" s="50"/>
      <c r="J56" s="77"/>
      <c r="K56" s="77"/>
      <c r="L56" s="77"/>
      <c r="M56" s="77"/>
      <c r="N56" s="77"/>
      <c r="O56" s="77"/>
      <c r="P56" s="77"/>
      <c r="Q56" s="39"/>
      <c r="R56" s="39"/>
    </row>
    <row r="57" spans="1:18" s="40" customFormat="1" x14ac:dyDescent="0.25">
      <c r="A57" s="39"/>
      <c r="B57" s="39"/>
      <c r="C57" s="39" t="s">
        <v>125</v>
      </c>
      <c r="D57" s="39" t="s">
        <v>67</v>
      </c>
      <c r="E57" s="50">
        <v>80000</v>
      </c>
      <c r="F57" s="59">
        <v>1</v>
      </c>
      <c r="G57" s="60" t="e">
        <f>#REF!</f>
        <v>#REF!</v>
      </c>
      <c r="H57" s="52" t="str">
        <f>gradeGenericQuestion(D57,E57,F57,G57)</f>
        <v>2Exception</v>
      </c>
      <c r="J57" s="77"/>
      <c r="K57" s="77"/>
      <c r="L57" s="77"/>
      <c r="M57" s="77"/>
      <c r="N57" s="77"/>
      <c r="O57" s="77"/>
      <c r="P57" s="77"/>
      <c r="Q57" s="39"/>
      <c r="R57" s="39"/>
    </row>
    <row r="58" spans="1:18" s="40" customFormat="1" x14ac:dyDescent="0.25">
      <c r="A58" s="39"/>
      <c r="E58" s="57"/>
      <c r="J58" s="78"/>
      <c r="K58" s="78"/>
      <c r="L58" s="78"/>
      <c r="M58" s="78"/>
      <c r="N58" s="78"/>
      <c r="O58" s="78"/>
      <c r="P58" s="78"/>
      <c r="Q58" s="39"/>
      <c r="R58" s="39"/>
    </row>
    <row r="59" spans="1:18" s="40" customFormat="1" x14ac:dyDescent="0.25">
      <c r="A59" s="39"/>
      <c r="B59" s="39"/>
      <c r="C59" s="39" t="s">
        <v>122</v>
      </c>
      <c r="D59" s="39" t="s">
        <v>67</v>
      </c>
      <c r="E59" s="50">
        <v>53984.75</v>
      </c>
      <c r="F59" s="39">
        <v>1</v>
      </c>
      <c r="G59" s="50" t="e">
        <f>#REF!</f>
        <v>#REF!</v>
      </c>
      <c r="H59" s="52" t="str">
        <f>gradeGenericQuestion(D59,E59:E61,F59,G59)</f>
        <v>2Exception</v>
      </c>
      <c r="J59" s="77"/>
      <c r="K59" s="77"/>
      <c r="L59" s="77"/>
      <c r="M59" s="77"/>
      <c r="N59" s="77"/>
      <c r="O59" s="77"/>
      <c r="P59" s="77"/>
      <c r="Q59" s="39"/>
      <c r="R59" s="39"/>
    </row>
    <row r="60" spans="1:18" s="40" customFormat="1" x14ac:dyDescent="0.25">
      <c r="A60" s="39"/>
      <c r="B60" s="39"/>
      <c r="C60" s="39"/>
      <c r="D60" s="39"/>
      <c r="E60" s="50">
        <v>53985</v>
      </c>
      <c r="F60" s="39">
        <v>1</v>
      </c>
      <c r="G60" s="39"/>
      <c r="H60" s="39"/>
      <c r="J60" s="77"/>
      <c r="K60" s="77"/>
      <c r="L60" s="77"/>
      <c r="M60" s="77"/>
      <c r="N60" s="77"/>
      <c r="O60" s="77"/>
      <c r="P60" s="77"/>
      <c r="Q60" s="39"/>
      <c r="R60" s="39"/>
    </row>
    <row r="61" spans="1:18" s="40" customFormat="1" x14ac:dyDescent="0.25">
      <c r="A61" s="39"/>
      <c r="B61" s="39"/>
      <c r="C61" s="39"/>
      <c r="D61" s="39"/>
      <c r="E61" s="50">
        <v>62813</v>
      </c>
      <c r="F61" s="39">
        <v>1</v>
      </c>
      <c r="G61" s="39"/>
      <c r="H61" s="39"/>
      <c r="J61" s="77"/>
      <c r="K61" s="77"/>
      <c r="L61" s="77"/>
      <c r="M61" s="77"/>
      <c r="N61" s="77"/>
      <c r="O61" s="77"/>
      <c r="P61" s="77"/>
      <c r="Q61" s="39"/>
      <c r="R61" s="39"/>
    </row>
    <row r="62" spans="1:18" s="40" customFormat="1" x14ac:dyDescent="0.25">
      <c r="A62" s="39"/>
      <c r="B62" s="39"/>
      <c r="C62" s="39"/>
      <c r="D62" s="39"/>
      <c r="E62" s="50"/>
      <c r="F62" s="39"/>
      <c r="G62" s="39"/>
      <c r="H62" s="39"/>
      <c r="J62" s="77"/>
      <c r="K62" s="77"/>
      <c r="L62" s="77"/>
      <c r="M62" s="77"/>
      <c r="N62" s="77"/>
      <c r="O62" s="77"/>
      <c r="P62" s="78"/>
      <c r="R62" s="39"/>
    </row>
    <row r="63" spans="1:18" s="40" customFormat="1" x14ac:dyDescent="0.25">
      <c r="C63" s="40" t="s">
        <v>126</v>
      </c>
      <c r="D63" s="40" t="s">
        <v>67</v>
      </c>
      <c r="E63" s="57">
        <v>5400</v>
      </c>
      <c r="F63" s="40">
        <v>1</v>
      </c>
      <c r="G63" s="40" t="e">
        <f>#REF!</f>
        <v>#REF!</v>
      </c>
      <c r="H63" s="52" t="str">
        <f>gradeGenericQuestion(D63,E63:E64,F63,G63)</f>
        <v>2Exception</v>
      </c>
      <c r="J63" s="78"/>
      <c r="K63" s="78"/>
      <c r="L63" s="78"/>
      <c r="M63" s="78"/>
      <c r="N63" s="78"/>
      <c r="O63" s="78"/>
      <c r="P63" s="78"/>
    </row>
    <row r="64" spans="1:18" s="40" customFormat="1" x14ac:dyDescent="0.25">
      <c r="E64" s="57">
        <v>6000</v>
      </c>
      <c r="F64" s="40">
        <v>1</v>
      </c>
      <c r="J64" s="78"/>
      <c r="K64" s="78"/>
      <c r="L64" s="78"/>
      <c r="M64" s="78"/>
      <c r="N64" s="78"/>
      <c r="O64" s="78"/>
      <c r="P64" s="78"/>
    </row>
    <row r="65" spans="1:16" s="40" customFormat="1" x14ac:dyDescent="0.25">
      <c r="C65" s="40" t="s">
        <v>130</v>
      </c>
      <c r="E65" s="57"/>
      <c r="H65" s="38">
        <f>SUM(H39,H43,H45,H50,H54,H57,H59,H63)</f>
        <v>0</v>
      </c>
      <c r="J65" s="78"/>
      <c r="K65" s="78"/>
      <c r="L65" s="78"/>
      <c r="M65" s="78"/>
      <c r="N65" s="78"/>
      <c r="O65" s="78"/>
      <c r="P65" s="78"/>
    </row>
    <row r="66" spans="1:16" s="40" customFormat="1" x14ac:dyDescent="0.25">
      <c r="E66" s="57"/>
      <c r="J66" s="78"/>
      <c r="K66" s="78"/>
      <c r="L66" s="78"/>
      <c r="M66" s="78"/>
      <c r="N66" s="78"/>
      <c r="O66" s="78"/>
      <c r="P66" s="78"/>
    </row>
    <row r="67" spans="1:16" s="40" customFormat="1" x14ac:dyDescent="0.25">
      <c r="A67" s="40">
        <v>2</v>
      </c>
      <c r="B67" s="40" t="s">
        <v>127</v>
      </c>
      <c r="C67" s="61">
        <v>43830</v>
      </c>
      <c r="D67" s="40" t="s">
        <v>128</v>
      </c>
      <c r="E67" s="57" t="s">
        <v>0</v>
      </c>
      <c r="F67" s="40">
        <v>0.5</v>
      </c>
      <c r="G67" s="52" t="e">
        <f>#REF!</f>
        <v>#REF!</v>
      </c>
      <c r="H67" s="52" t="str">
        <f>gradeGenericQuestion(D67,E67,F67,G67)</f>
        <v>2Exception</v>
      </c>
      <c r="J67" s="78"/>
      <c r="K67" s="78"/>
      <c r="L67" s="78"/>
      <c r="M67" s="78"/>
      <c r="N67" s="78"/>
      <c r="O67" s="78"/>
      <c r="P67" s="78"/>
    </row>
    <row r="68" spans="1:16" s="40" customFormat="1" x14ac:dyDescent="0.25">
      <c r="C68" s="61"/>
      <c r="D68" s="40" t="s">
        <v>129</v>
      </c>
      <c r="E68" s="57">
        <v>17500</v>
      </c>
      <c r="F68" s="40">
        <v>0.5</v>
      </c>
      <c r="G68" s="62" t="e">
        <f>#REF!</f>
        <v>#REF!</v>
      </c>
      <c r="H68" s="52" t="str">
        <f>gradeGenericQuestion(D68,E68,F68,G68)</f>
        <v>2Exception</v>
      </c>
      <c r="J68" s="78"/>
      <c r="K68" s="78"/>
      <c r="L68" s="78"/>
      <c r="M68" s="78"/>
      <c r="N68" s="78"/>
      <c r="O68" s="78"/>
      <c r="P68" s="78"/>
    </row>
    <row r="69" spans="1:16" s="40" customFormat="1" x14ac:dyDescent="0.25">
      <c r="D69" s="40" t="s">
        <v>128</v>
      </c>
      <c r="E69" s="57" t="s">
        <v>108</v>
      </c>
      <c r="F69" s="40">
        <v>0.5</v>
      </c>
      <c r="G69" s="52" t="e">
        <f>#REF!</f>
        <v>#REF!</v>
      </c>
      <c r="H69" s="52" t="str">
        <f>gradeGenericQuestion(D69,E69,F69,G69)</f>
        <v>2Exception</v>
      </c>
      <c r="J69" s="78"/>
      <c r="K69" s="78"/>
      <c r="L69" s="78"/>
      <c r="M69" s="78"/>
      <c r="N69" s="78"/>
      <c r="O69" s="78"/>
      <c r="P69" s="78"/>
    </row>
    <row r="70" spans="1:16" s="40" customFormat="1" x14ac:dyDescent="0.25">
      <c r="D70" s="40" t="s">
        <v>129</v>
      </c>
      <c r="E70" s="57">
        <v>17500</v>
      </c>
      <c r="F70" s="40">
        <v>0.5</v>
      </c>
      <c r="G70" s="62" t="e">
        <f>#REF!</f>
        <v>#REF!</v>
      </c>
      <c r="H70" s="52" t="str">
        <f>gradeGenericQuestion(D70,E70,F70,G70)</f>
        <v>2Exception</v>
      </c>
      <c r="J70" s="78"/>
      <c r="K70" s="78"/>
      <c r="L70" s="78"/>
      <c r="M70" s="78"/>
      <c r="N70" s="78"/>
      <c r="O70" s="78"/>
      <c r="P70" s="78"/>
    </row>
    <row r="71" spans="1:16" s="40" customFormat="1" x14ac:dyDescent="0.25">
      <c r="G71" s="52"/>
      <c r="J71" s="78"/>
      <c r="K71" s="78"/>
      <c r="L71" s="78"/>
      <c r="M71" s="78"/>
      <c r="N71" s="78"/>
      <c r="O71" s="78"/>
      <c r="P71" s="78"/>
    </row>
    <row r="72" spans="1:16" s="40" customFormat="1" x14ac:dyDescent="0.25">
      <c r="C72" s="61">
        <v>43496</v>
      </c>
      <c r="D72" s="40" t="s">
        <v>128</v>
      </c>
      <c r="E72" s="40" t="s">
        <v>108</v>
      </c>
      <c r="F72" s="40">
        <v>0.5</v>
      </c>
      <c r="G72" s="52" t="e">
        <f>#REF!</f>
        <v>#REF!</v>
      </c>
      <c r="H72" s="52" t="str">
        <f t="shared" ref="H72:H79" si="0">gradeGenericQuestion(D72,E72,F72,G72)</f>
        <v>2Exception</v>
      </c>
      <c r="J72" s="78"/>
      <c r="K72" s="78"/>
      <c r="L72" s="78"/>
      <c r="M72" s="78"/>
      <c r="N72" s="78"/>
      <c r="O72" s="78"/>
      <c r="P72" s="78"/>
    </row>
    <row r="73" spans="1:16" s="40" customFormat="1" x14ac:dyDescent="0.25">
      <c r="D73" s="40" t="s">
        <v>129</v>
      </c>
      <c r="E73" s="40">
        <v>15000</v>
      </c>
      <c r="F73" s="40">
        <v>0.5</v>
      </c>
      <c r="G73" s="62" t="e">
        <f>#REF!</f>
        <v>#REF!</v>
      </c>
      <c r="H73" s="52" t="str">
        <f t="shared" si="0"/>
        <v>2Exception</v>
      </c>
      <c r="J73" s="78"/>
      <c r="K73" s="78"/>
      <c r="L73" s="78"/>
      <c r="M73" s="78"/>
      <c r="N73" s="78"/>
      <c r="O73" s="78"/>
      <c r="P73" s="78"/>
    </row>
    <row r="74" spans="1:16" s="40" customFormat="1" x14ac:dyDescent="0.25">
      <c r="D74" s="40" t="s">
        <v>128</v>
      </c>
      <c r="E74" s="40" t="s">
        <v>109</v>
      </c>
      <c r="F74" s="40">
        <v>0.5</v>
      </c>
      <c r="G74" s="52" t="e">
        <f>#REF!</f>
        <v>#REF!</v>
      </c>
      <c r="H74" s="52" t="str">
        <f t="shared" si="0"/>
        <v>2Exception</v>
      </c>
      <c r="J74" s="78"/>
      <c r="K74" s="78"/>
      <c r="L74" s="78"/>
      <c r="M74" s="78"/>
      <c r="N74" s="78"/>
      <c r="O74" s="78"/>
      <c r="P74" s="78"/>
    </row>
    <row r="75" spans="1:16" s="40" customFormat="1" x14ac:dyDescent="0.25">
      <c r="D75" s="40" t="s">
        <v>129</v>
      </c>
      <c r="E75" s="40">
        <v>15000</v>
      </c>
      <c r="F75" s="40">
        <v>0.5</v>
      </c>
      <c r="G75" s="62" t="e">
        <f>#REF!</f>
        <v>#REF!</v>
      </c>
      <c r="H75" s="52" t="str">
        <f t="shared" si="0"/>
        <v>2Exception</v>
      </c>
      <c r="J75" s="78"/>
      <c r="K75" s="78"/>
      <c r="L75" s="78"/>
      <c r="M75" s="78"/>
      <c r="N75" s="78"/>
      <c r="O75" s="78"/>
      <c r="P75" s="78"/>
    </row>
    <row r="76" spans="1:16" s="40" customFormat="1" x14ac:dyDescent="0.25">
      <c r="D76" s="40" t="s">
        <v>128</v>
      </c>
      <c r="E76" s="40" t="s">
        <v>24</v>
      </c>
      <c r="F76" s="40">
        <v>0.5</v>
      </c>
      <c r="G76" s="52" t="e">
        <f>#REF!</f>
        <v>#REF!</v>
      </c>
      <c r="H76" s="52" t="str">
        <f t="shared" si="0"/>
        <v>2Exception</v>
      </c>
      <c r="J76" s="78"/>
      <c r="K76" s="78"/>
      <c r="L76" s="78"/>
      <c r="M76" s="78"/>
      <c r="N76" s="78"/>
      <c r="O76" s="78"/>
      <c r="P76" s="78"/>
    </row>
    <row r="77" spans="1:16" s="40" customFormat="1" x14ac:dyDescent="0.25">
      <c r="D77" s="40" t="s">
        <v>129</v>
      </c>
      <c r="E77" s="40">
        <v>13000</v>
      </c>
      <c r="F77" s="40">
        <v>0.5</v>
      </c>
      <c r="G77" s="62" t="e">
        <f>#REF!</f>
        <v>#REF!</v>
      </c>
      <c r="H77" s="52" t="str">
        <f t="shared" si="0"/>
        <v>2Exception</v>
      </c>
      <c r="J77" s="78"/>
      <c r="K77" s="78"/>
      <c r="L77" s="78"/>
      <c r="M77" s="78"/>
      <c r="N77" s="78"/>
      <c r="O77" s="78"/>
      <c r="P77" s="78"/>
    </row>
    <row r="78" spans="1:16" s="40" customFormat="1" x14ac:dyDescent="0.25">
      <c r="D78" s="40" t="s">
        <v>128</v>
      </c>
      <c r="E78" s="40" t="s">
        <v>3</v>
      </c>
      <c r="F78" s="40">
        <v>0.5</v>
      </c>
      <c r="G78" s="52" t="e">
        <f>#REF!</f>
        <v>#REF!</v>
      </c>
      <c r="H78" s="52" t="str">
        <f t="shared" si="0"/>
        <v>2Exception</v>
      </c>
      <c r="J78" s="78"/>
      <c r="K78" s="78"/>
      <c r="L78" s="78"/>
      <c r="M78" s="78"/>
      <c r="N78" s="78"/>
      <c r="O78" s="78"/>
      <c r="P78" s="78"/>
    </row>
    <row r="79" spans="1:16" s="40" customFormat="1" x14ac:dyDescent="0.25">
      <c r="D79" s="40" t="s">
        <v>129</v>
      </c>
      <c r="E79" s="40">
        <v>13000</v>
      </c>
      <c r="F79" s="40">
        <v>0.5</v>
      </c>
      <c r="G79" s="62" t="e">
        <f>#REF!</f>
        <v>#REF!</v>
      </c>
      <c r="H79" s="52" t="str">
        <f t="shared" si="0"/>
        <v>2Exception</v>
      </c>
      <c r="J79" s="78"/>
      <c r="K79" s="78"/>
      <c r="L79" s="78"/>
      <c r="M79" s="78"/>
      <c r="N79" s="78"/>
      <c r="O79" s="78"/>
      <c r="P79" s="78"/>
    </row>
    <row r="80" spans="1:16" s="40" customFormat="1" x14ac:dyDescent="0.25">
      <c r="G80" s="52"/>
      <c r="J80" s="78"/>
      <c r="K80" s="78"/>
      <c r="L80" s="78"/>
      <c r="M80" s="78"/>
      <c r="N80" s="78"/>
      <c r="O80" s="78"/>
      <c r="P80" s="78"/>
    </row>
    <row r="81" spans="1:16" s="40" customFormat="1" x14ac:dyDescent="0.25">
      <c r="C81" s="61">
        <v>43496</v>
      </c>
      <c r="D81" s="40" t="s">
        <v>128</v>
      </c>
      <c r="E81" s="40" t="s">
        <v>108</v>
      </c>
      <c r="F81" s="40">
        <v>0.5</v>
      </c>
      <c r="G81" s="52" t="e">
        <f>#REF!</f>
        <v>#REF!</v>
      </c>
      <c r="H81" s="52" t="str">
        <f>gradeGenericQuestion(D81,E81,F81,G81)</f>
        <v>2Exception</v>
      </c>
      <c r="J81" s="78"/>
      <c r="K81" s="78"/>
      <c r="L81" s="78"/>
      <c r="M81" s="78"/>
      <c r="N81" s="78"/>
      <c r="O81" s="78"/>
      <c r="P81" s="78"/>
    </row>
    <row r="82" spans="1:16" s="40" customFormat="1" x14ac:dyDescent="0.25">
      <c r="D82" s="40" t="s">
        <v>129</v>
      </c>
      <c r="E82" s="40">
        <v>625</v>
      </c>
      <c r="F82" s="40">
        <v>0.5</v>
      </c>
      <c r="G82" s="63" t="e">
        <f>#REF!</f>
        <v>#REF!</v>
      </c>
      <c r="H82" s="52" t="str">
        <f>gradeGenericQuestion(D82,E82,F82,G82)</f>
        <v>2Exception</v>
      </c>
      <c r="J82" s="78"/>
      <c r="K82" s="78"/>
      <c r="L82" s="78"/>
      <c r="M82" s="78"/>
      <c r="N82" s="78"/>
      <c r="O82" s="78"/>
      <c r="P82" s="78"/>
    </row>
    <row r="83" spans="1:16" s="40" customFormat="1" x14ac:dyDescent="0.25">
      <c r="D83" s="40" t="s">
        <v>128</v>
      </c>
      <c r="E83" s="40" t="s">
        <v>109</v>
      </c>
      <c r="F83" s="40">
        <v>0.5</v>
      </c>
      <c r="G83" s="52" t="e">
        <f>#REF!</f>
        <v>#REF!</v>
      </c>
      <c r="H83" s="52" t="str">
        <f>gradeGenericQuestion(D83,E83,F83,G83)</f>
        <v>2Exception</v>
      </c>
      <c r="J83" s="78"/>
      <c r="K83" s="78"/>
      <c r="L83" s="78"/>
      <c r="M83" s="78"/>
      <c r="N83" s="78"/>
      <c r="O83" s="78"/>
      <c r="P83" s="78"/>
    </row>
    <row r="84" spans="1:16" s="40" customFormat="1" x14ac:dyDescent="0.25">
      <c r="D84" s="40" t="s">
        <v>129</v>
      </c>
      <c r="E84" s="40">
        <v>625</v>
      </c>
      <c r="F84" s="40">
        <v>0.5</v>
      </c>
      <c r="G84" s="63" t="e">
        <f>#REF!</f>
        <v>#REF!</v>
      </c>
      <c r="H84" s="52" t="str">
        <f>gradeGenericQuestion(D84,E84,F84,G84)</f>
        <v>2Exception</v>
      </c>
      <c r="J84" s="78"/>
      <c r="K84" s="78"/>
      <c r="L84" s="78"/>
      <c r="M84" s="78"/>
      <c r="N84" s="78"/>
      <c r="O84" s="78"/>
      <c r="P84" s="78"/>
    </row>
    <row r="85" spans="1:16" s="40" customFormat="1" x14ac:dyDescent="0.25">
      <c r="C85" s="40" t="s">
        <v>130</v>
      </c>
      <c r="G85" s="52"/>
      <c r="H85" s="38">
        <f>SUM(H67:H70,H72:H79,H81:H84)</f>
        <v>0</v>
      </c>
      <c r="J85" s="78"/>
      <c r="K85" s="78"/>
      <c r="L85" s="78"/>
      <c r="M85" s="78"/>
      <c r="N85" s="78"/>
      <c r="O85" s="78"/>
      <c r="P85" s="78"/>
    </row>
    <row r="86" spans="1:16" s="40" customFormat="1" x14ac:dyDescent="0.25">
      <c r="G86" s="52"/>
      <c r="J86" s="78"/>
      <c r="K86" s="78"/>
      <c r="L86" s="78"/>
      <c r="M86" s="78"/>
      <c r="N86" s="78"/>
      <c r="O86" s="78"/>
      <c r="P86" s="78"/>
    </row>
    <row r="87" spans="1:16" s="40" customFormat="1" x14ac:dyDescent="0.25">
      <c r="A87" s="40">
        <v>3</v>
      </c>
      <c r="B87" s="40" t="s">
        <v>131</v>
      </c>
      <c r="C87" s="61">
        <v>43468</v>
      </c>
      <c r="D87" s="40" t="s">
        <v>128</v>
      </c>
      <c r="E87" s="40" t="s">
        <v>0</v>
      </c>
      <c r="F87" s="40">
        <v>0.5</v>
      </c>
      <c r="G87" s="40" t="e">
        <f>#REF!</f>
        <v>#REF!</v>
      </c>
      <c r="H87" s="52" t="str">
        <f>gradeGenericQuestion(D87,E87,F87,G87)</f>
        <v>2Exception</v>
      </c>
      <c r="J87" s="78"/>
      <c r="K87" s="78"/>
      <c r="L87" s="78"/>
      <c r="M87" s="78"/>
      <c r="N87" s="78"/>
      <c r="O87" s="78"/>
      <c r="P87" s="78"/>
    </row>
    <row r="88" spans="1:16" s="40" customFormat="1" x14ac:dyDescent="0.25">
      <c r="D88" s="40" t="s">
        <v>129</v>
      </c>
      <c r="E88" s="40">
        <v>1400000</v>
      </c>
      <c r="F88" s="40">
        <v>0.5</v>
      </c>
      <c r="G88" s="64" t="e">
        <f>#REF!</f>
        <v>#REF!</v>
      </c>
      <c r="H88" s="52" t="str">
        <f>gradeGenericQuestion(D88,E88,F88,G88)</f>
        <v>2Exception</v>
      </c>
      <c r="J88" s="78"/>
      <c r="K88" s="78"/>
      <c r="L88" s="78"/>
      <c r="M88" s="78"/>
      <c r="N88" s="78"/>
      <c r="O88" s="78"/>
      <c r="P88" s="78"/>
    </row>
    <row r="89" spans="1:16" s="40" customFormat="1" x14ac:dyDescent="0.25">
      <c r="D89" s="40" t="s">
        <v>128</v>
      </c>
      <c r="E89" s="40" t="s">
        <v>5</v>
      </c>
      <c r="F89" s="40">
        <v>0.5</v>
      </c>
      <c r="G89" s="40" t="e">
        <f>#REF!</f>
        <v>#REF!</v>
      </c>
      <c r="H89" s="52" t="str">
        <f>gradeGenericQuestion(D89,E89,F89,G89)</f>
        <v>2Exception</v>
      </c>
      <c r="J89" s="78"/>
      <c r="K89" s="78"/>
      <c r="L89" s="78"/>
      <c r="M89" s="78"/>
      <c r="N89" s="78"/>
      <c r="O89" s="78"/>
      <c r="P89" s="78"/>
    </row>
    <row r="90" spans="1:16" s="40" customFormat="1" x14ac:dyDescent="0.25">
      <c r="D90" s="40" t="s">
        <v>129</v>
      </c>
      <c r="E90" s="40">
        <v>1400000</v>
      </c>
      <c r="F90" s="40">
        <v>0.5</v>
      </c>
      <c r="G90" s="64" t="e">
        <f>#REF!</f>
        <v>#REF!</v>
      </c>
      <c r="H90" s="52" t="str">
        <f>gradeGenericQuestion(D90,E90,F90,G90)</f>
        <v>2Exception</v>
      </c>
      <c r="J90" s="78"/>
      <c r="K90" s="78"/>
      <c r="L90" s="78"/>
      <c r="M90" s="78"/>
      <c r="N90" s="78"/>
      <c r="O90" s="78"/>
      <c r="P90" s="78"/>
    </row>
    <row r="91" spans="1:16" s="40" customFormat="1" x14ac:dyDescent="0.25">
      <c r="J91" s="78"/>
      <c r="K91" s="78"/>
      <c r="L91" s="78"/>
      <c r="M91" s="78"/>
      <c r="N91" s="78"/>
      <c r="O91" s="78"/>
      <c r="P91" s="78"/>
    </row>
    <row r="92" spans="1:16" s="40" customFormat="1" x14ac:dyDescent="0.25">
      <c r="C92" s="61">
        <v>43471</v>
      </c>
      <c r="D92" s="40" t="s">
        <v>128</v>
      </c>
      <c r="E92" s="40" t="s">
        <v>0</v>
      </c>
      <c r="F92" s="40">
        <v>0.5</v>
      </c>
      <c r="G92" s="40" t="e">
        <f>#REF!</f>
        <v>#REF!</v>
      </c>
      <c r="H92" s="52" t="str">
        <f>gradeGenericQuestion(D92,E92,F92,G92)</f>
        <v>2Exception</v>
      </c>
      <c r="J92" s="78"/>
      <c r="K92" s="78"/>
      <c r="L92" s="78"/>
      <c r="M92" s="78"/>
      <c r="N92" s="78"/>
      <c r="O92" s="78"/>
      <c r="P92" s="78"/>
    </row>
    <row r="93" spans="1:16" s="40" customFormat="1" x14ac:dyDescent="0.25">
      <c r="D93" s="40" t="s">
        <v>129</v>
      </c>
      <c r="E93" s="65">
        <v>360000</v>
      </c>
      <c r="F93" s="40">
        <v>0.5</v>
      </c>
      <c r="G93" s="64" t="e">
        <f>#REF!</f>
        <v>#REF!</v>
      </c>
      <c r="H93" s="52" t="str">
        <f>gradeGenericQuestion(D93,E93,F93,G93)</f>
        <v>2Exception</v>
      </c>
      <c r="J93" s="78"/>
      <c r="K93" s="78"/>
      <c r="L93" s="78"/>
      <c r="M93" s="78"/>
      <c r="N93" s="78"/>
      <c r="O93" s="78"/>
      <c r="P93" s="78"/>
    </row>
    <row r="94" spans="1:16" s="40" customFormat="1" x14ac:dyDescent="0.25">
      <c r="D94" s="40" t="s">
        <v>132</v>
      </c>
      <c r="E94" s="40" t="s">
        <v>110</v>
      </c>
      <c r="F94" s="40">
        <v>0.5</v>
      </c>
      <c r="G94" s="40" t="e">
        <f>#REF!</f>
        <v>#REF!</v>
      </c>
      <c r="H94" s="52" t="str">
        <f>gradeGenericQuestion(D94,E94,F94,G94)</f>
        <v>2Exception</v>
      </c>
      <c r="J94" s="78"/>
      <c r="K94" s="78"/>
      <c r="L94" s="78"/>
      <c r="M94" s="78"/>
      <c r="N94" s="78"/>
      <c r="O94" s="78"/>
      <c r="P94" s="78"/>
    </row>
    <row r="95" spans="1:16" s="40" customFormat="1" x14ac:dyDescent="0.25">
      <c r="D95" s="40" t="s">
        <v>129</v>
      </c>
      <c r="E95" s="65">
        <v>360000</v>
      </c>
      <c r="F95" s="40">
        <v>0.5</v>
      </c>
      <c r="G95" s="64" t="e">
        <f>#REF!</f>
        <v>#REF!</v>
      </c>
      <c r="H95" s="52" t="str">
        <f>gradeGenericQuestion(D95,E95,F95,G95)</f>
        <v>2Exception</v>
      </c>
      <c r="J95" s="78"/>
      <c r="K95" s="78"/>
      <c r="L95" s="78"/>
      <c r="M95" s="78"/>
      <c r="N95" s="78"/>
      <c r="O95" s="78"/>
      <c r="P95" s="78"/>
    </row>
    <row r="96" spans="1:16" s="40" customFormat="1" x14ac:dyDescent="0.25">
      <c r="J96" s="78"/>
      <c r="K96" s="78"/>
      <c r="L96" s="78"/>
      <c r="M96" s="78"/>
      <c r="N96" s="78"/>
      <c r="O96" s="78"/>
      <c r="P96" s="78"/>
    </row>
    <row r="97" spans="2:16" s="40" customFormat="1" x14ac:dyDescent="0.25">
      <c r="C97" s="61">
        <v>43555</v>
      </c>
      <c r="D97" s="40" t="s">
        <v>128</v>
      </c>
      <c r="E97" s="40" t="s">
        <v>25</v>
      </c>
      <c r="F97" s="40">
        <v>0.5</v>
      </c>
      <c r="G97" s="40" t="e">
        <f>#REF!</f>
        <v>#REF!</v>
      </c>
      <c r="H97" s="52" t="str">
        <f>gradeGenericQuestion(D97,E97:E98,F97,G97)</f>
        <v>2Exception</v>
      </c>
      <c r="J97" s="78"/>
      <c r="K97" s="78"/>
      <c r="L97" s="78"/>
      <c r="M97" s="78"/>
      <c r="N97" s="78"/>
      <c r="O97" s="78"/>
      <c r="P97" s="78"/>
    </row>
    <row r="98" spans="2:16" s="40" customFormat="1" x14ac:dyDescent="0.25">
      <c r="C98" s="61"/>
      <c r="E98" s="40" t="s">
        <v>6</v>
      </c>
      <c r="J98" s="78"/>
      <c r="K98" s="78"/>
      <c r="L98" s="78"/>
      <c r="M98" s="78"/>
      <c r="N98" s="78"/>
      <c r="O98" s="78"/>
      <c r="P98" s="78"/>
    </row>
    <row r="99" spans="2:16" s="40" customFormat="1" x14ac:dyDescent="0.25">
      <c r="D99" s="40" t="s">
        <v>129</v>
      </c>
      <c r="E99" s="65">
        <v>720000</v>
      </c>
      <c r="F99" s="40">
        <v>0.5</v>
      </c>
      <c r="G99" s="66" t="e">
        <f>#REF!</f>
        <v>#REF!</v>
      </c>
      <c r="H99" s="52" t="str">
        <f>gradeGenericQuestion(D99,E99,F99,G99)</f>
        <v>2Exception</v>
      </c>
      <c r="J99" s="78"/>
      <c r="K99" s="78"/>
      <c r="L99" s="78"/>
      <c r="M99" s="78"/>
      <c r="N99" s="78"/>
      <c r="O99" s="78"/>
      <c r="P99" s="78"/>
    </row>
    <row r="100" spans="2:16" s="40" customFormat="1" x14ac:dyDescent="0.25">
      <c r="D100" s="40" t="s">
        <v>128</v>
      </c>
      <c r="E100" s="40" t="s">
        <v>39</v>
      </c>
      <c r="F100" s="40">
        <v>0.5</v>
      </c>
      <c r="G100" s="40" t="e">
        <f>#REF!</f>
        <v>#REF!</v>
      </c>
      <c r="H100" s="52" t="str">
        <f>gradeGenericQuestion(D100,E100,F100,G100)</f>
        <v>2Exception</v>
      </c>
      <c r="J100" s="78"/>
      <c r="K100" s="78"/>
      <c r="L100" s="78"/>
      <c r="M100" s="78"/>
      <c r="N100" s="78"/>
      <c r="O100" s="78"/>
      <c r="P100" s="78"/>
    </row>
    <row r="101" spans="2:16" s="40" customFormat="1" x14ac:dyDescent="0.25">
      <c r="D101" s="40" t="s">
        <v>129</v>
      </c>
      <c r="E101" s="65">
        <f>E99</f>
        <v>720000</v>
      </c>
      <c r="F101" s="40">
        <v>0.5</v>
      </c>
      <c r="G101" s="66" t="e">
        <f>#REF!</f>
        <v>#REF!</v>
      </c>
      <c r="H101" s="52" t="str">
        <f>gradeGenericQuestion(D101,E101,F101,G101)</f>
        <v>2Exception</v>
      </c>
      <c r="J101" s="78"/>
      <c r="K101" s="78"/>
      <c r="L101" s="78"/>
      <c r="M101" s="78"/>
      <c r="N101" s="78"/>
      <c r="O101" s="78"/>
      <c r="P101" s="78"/>
    </row>
    <row r="102" spans="2:16" s="40" customFormat="1" x14ac:dyDescent="0.25">
      <c r="J102" s="78"/>
      <c r="K102" s="78"/>
      <c r="L102" s="78"/>
      <c r="M102" s="78"/>
      <c r="N102" s="78"/>
      <c r="O102" s="78"/>
      <c r="P102" s="78"/>
    </row>
    <row r="103" spans="2:16" s="40" customFormat="1" x14ac:dyDescent="0.25">
      <c r="C103" s="61">
        <v>43567</v>
      </c>
      <c r="D103" s="40" t="s">
        <v>132</v>
      </c>
      <c r="E103" s="40" t="s">
        <v>25</v>
      </c>
      <c r="F103" s="40">
        <v>0.5</v>
      </c>
      <c r="G103" s="40" t="e">
        <f>#REF!</f>
        <v>#REF!</v>
      </c>
      <c r="H103" s="52" t="str">
        <f>gradeGenericQuestion(D103,E103:E104,F103,G103)</f>
        <v>2Exception</v>
      </c>
      <c r="J103" s="78"/>
      <c r="K103" s="78"/>
      <c r="L103" s="78"/>
      <c r="M103" s="78"/>
      <c r="N103" s="78"/>
      <c r="O103" s="78"/>
      <c r="P103" s="78"/>
    </row>
    <row r="104" spans="2:16" s="40" customFormat="1" x14ac:dyDescent="0.25">
      <c r="C104" s="61"/>
      <c r="E104" s="40" t="s">
        <v>6</v>
      </c>
      <c r="J104" s="78"/>
      <c r="K104" s="78"/>
      <c r="L104" s="78"/>
      <c r="M104" s="78"/>
      <c r="N104" s="78"/>
      <c r="O104" s="78"/>
      <c r="P104" s="78"/>
    </row>
    <row r="105" spans="2:16" s="40" customFormat="1" x14ac:dyDescent="0.25">
      <c r="D105" s="40" t="s">
        <v>129</v>
      </c>
      <c r="E105" s="65">
        <v>1380000</v>
      </c>
      <c r="F105" s="40">
        <v>0.5</v>
      </c>
      <c r="G105" s="66" t="e">
        <f>#REF!</f>
        <v>#REF!</v>
      </c>
      <c r="H105" s="52" t="str">
        <f>gradeGenericQuestion(D105,E105,F105,G105)</f>
        <v>2Exception</v>
      </c>
      <c r="J105" s="78"/>
      <c r="K105" s="78"/>
      <c r="L105" s="78"/>
      <c r="M105" s="78"/>
      <c r="N105" s="78"/>
      <c r="O105" s="78"/>
      <c r="P105" s="78"/>
    </row>
    <row r="106" spans="2:16" s="40" customFormat="1" x14ac:dyDescent="0.25">
      <c r="D106" s="40" t="s">
        <v>132</v>
      </c>
      <c r="E106" s="40" t="s">
        <v>39</v>
      </c>
      <c r="F106" s="40">
        <v>0.5</v>
      </c>
      <c r="G106" s="40" t="e">
        <f>#REF!</f>
        <v>#REF!</v>
      </c>
      <c r="H106" s="52" t="str">
        <f>gradeGenericQuestion(D106,E106,F106,G106)</f>
        <v>2Exception</v>
      </c>
      <c r="J106" s="78"/>
      <c r="K106" s="78"/>
      <c r="L106" s="78"/>
      <c r="M106" s="78"/>
      <c r="N106" s="78"/>
      <c r="O106" s="78"/>
      <c r="P106" s="78"/>
    </row>
    <row r="107" spans="2:16" s="40" customFormat="1" x14ac:dyDescent="0.25">
      <c r="D107" s="40" t="s">
        <v>129</v>
      </c>
      <c r="E107" s="65">
        <v>1380000</v>
      </c>
      <c r="F107" s="40">
        <v>0.5</v>
      </c>
      <c r="G107" s="66" t="e">
        <f>#REF!</f>
        <v>#REF!</v>
      </c>
      <c r="H107" s="52" t="str">
        <f>gradeGenericQuestion(D107,E107,F107,G107)</f>
        <v>2Exception</v>
      </c>
      <c r="J107" s="78"/>
      <c r="K107" s="78"/>
      <c r="L107" s="78"/>
      <c r="M107" s="78"/>
      <c r="N107" s="78"/>
      <c r="O107" s="78"/>
      <c r="P107" s="78"/>
    </row>
    <row r="108" spans="2:16" s="40" customFormat="1" x14ac:dyDescent="0.25">
      <c r="J108" s="78"/>
      <c r="K108" s="78"/>
      <c r="L108" s="78"/>
      <c r="M108" s="78"/>
      <c r="N108" s="78"/>
      <c r="O108" s="78"/>
      <c r="P108" s="78"/>
    </row>
    <row r="109" spans="2:16" s="40" customFormat="1" x14ac:dyDescent="0.25">
      <c r="B109" s="40" t="s">
        <v>133</v>
      </c>
      <c r="C109" s="40" t="s">
        <v>134</v>
      </c>
      <c r="D109" s="40" t="s">
        <v>129</v>
      </c>
      <c r="E109" s="65">
        <v>6200000</v>
      </c>
      <c r="F109" s="40">
        <v>0.5</v>
      </c>
      <c r="G109" s="40" t="e">
        <f>#REF!</f>
        <v>#REF!</v>
      </c>
      <c r="H109" s="52" t="str">
        <f>gradeGenericQuestion(D109,E109,F109,G109)</f>
        <v>2Exception</v>
      </c>
      <c r="J109" s="78"/>
      <c r="K109" s="78"/>
      <c r="L109" s="78"/>
      <c r="M109" s="78"/>
      <c r="N109" s="78"/>
      <c r="O109" s="78"/>
      <c r="P109" s="78"/>
    </row>
    <row r="110" spans="2:16" s="40" customFormat="1" x14ac:dyDescent="0.25">
      <c r="D110" s="40" t="s">
        <v>129</v>
      </c>
      <c r="E110" s="65">
        <v>6200000</v>
      </c>
      <c r="F110" s="40">
        <v>0.5</v>
      </c>
      <c r="G110" s="40" t="e">
        <f>#REF!</f>
        <v>#REF!</v>
      </c>
      <c r="H110" s="52" t="str">
        <f>gradeGenericQuestion(D110,E110,F110,G110)</f>
        <v>2Exception</v>
      </c>
      <c r="J110" s="78"/>
      <c r="K110" s="78"/>
      <c r="L110" s="78"/>
      <c r="M110" s="78"/>
      <c r="N110" s="78"/>
      <c r="O110" s="78"/>
      <c r="P110" s="78"/>
    </row>
    <row r="111" spans="2:16" s="40" customFormat="1" x14ac:dyDescent="0.25">
      <c r="J111" s="78"/>
      <c r="K111" s="78"/>
      <c r="L111" s="78"/>
      <c r="M111" s="78"/>
      <c r="N111" s="78"/>
      <c r="O111" s="78"/>
      <c r="P111" s="78"/>
    </row>
    <row r="112" spans="2:16" s="40" customFormat="1" x14ac:dyDescent="0.25">
      <c r="C112" s="40" t="s">
        <v>135</v>
      </c>
      <c r="D112" s="40" t="s">
        <v>129</v>
      </c>
      <c r="E112" s="65">
        <v>100000</v>
      </c>
      <c r="F112" s="40">
        <v>0.5</v>
      </c>
      <c r="G112" s="40" t="e">
        <f>#REF!</f>
        <v>#REF!</v>
      </c>
      <c r="H112" s="52" t="str">
        <f>gradeGenericQuestion(D112,E112,F112,G112)</f>
        <v>2Exception</v>
      </c>
      <c r="J112" s="78"/>
      <c r="K112" s="78"/>
      <c r="L112" s="78"/>
      <c r="M112" s="78"/>
      <c r="N112" s="78"/>
      <c r="O112" s="78"/>
      <c r="P112" s="78"/>
    </row>
    <row r="113" spans="3:16" s="40" customFormat="1" x14ac:dyDescent="0.25">
      <c r="D113" s="40" t="s">
        <v>129</v>
      </c>
      <c r="E113" s="65">
        <v>1400000</v>
      </c>
      <c r="F113" s="40">
        <v>0.5</v>
      </c>
      <c r="G113" s="40" t="e">
        <f>#REF!</f>
        <v>#REF!</v>
      </c>
      <c r="H113" s="52" t="str">
        <f>gradeGenericQuestion(D113,E113,F113,G113)</f>
        <v>2Exception</v>
      </c>
      <c r="J113" s="78"/>
      <c r="K113" s="78"/>
      <c r="L113" s="78"/>
      <c r="M113" s="78"/>
      <c r="N113" s="78"/>
      <c r="O113" s="78"/>
      <c r="P113" s="78"/>
    </row>
    <row r="114" spans="3:16" s="40" customFormat="1" x14ac:dyDescent="0.25">
      <c r="D114" s="40" t="s">
        <v>129</v>
      </c>
      <c r="E114" s="65">
        <v>12000</v>
      </c>
      <c r="F114" s="40">
        <v>0.5</v>
      </c>
      <c r="G114" s="40" t="e">
        <f>#REF!</f>
        <v>#REF!</v>
      </c>
      <c r="H114" s="52" t="str">
        <f>gradeGenericQuestion(D114,E114,F114,G114)</f>
        <v>2Exception</v>
      </c>
      <c r="J114" s="78"/>
      <c r="K114" s="78"/>
      <c r="L114" s="78"/>
      <c r="M114" s="78"/>
      <c r="N114" s="78"/>
      <c r="O114" s="78"/>
      <c r="P114" s="78"/>
    </row>
    <row r="115" spans="3:16" s="40" customFormat="1" x14ac:dyDescent="0.25">
      <c r="D115" s="40" t="s">
        <v>129</v>
      </c>
      <c r="E115" s="65">
        <v>360000</v>
      </c>
      <c r="F115" s="40">
        <v>0.5</v>
      </c>
      <c r="G115" s="40" t="e">
        <f>#REF!</f>
        <v>#REF!</v>
      </c>
      <c r="H115" s="52" t="str">
        <f>gradeGenericQuestion(D115,E115,F115,G115)</f>
        <v>2Exception</v>
      </c>
      <c r="J115" s="78"/>
      <c r="K115" s="78"/>
      <c r="L115" s="78"/>
      <c r="M115" s="78"/>
      <c r="N115" s="78"/>
      <c r="O115" s="78"/>
      <c r="P115" s="78"/>
    </row>
    <row r="116" spans="3:16" s="40" customFormat="1" x14ac:dyDescent="0.25">
      <c r="D116" s="40" t="s">
        <v>129</v>
      </c>
      <c r="E116" s="65">
        <v>1760000</v>
      </c>
      <c r="F116" s="40">
        <v>0.5</v>
      </c>
      <c r="G116" s="40" t="e">
        <f>#REF!</f>
        <v>#REF!</v>
      </c>
      <c r="H116" s="52" t="str">
        <f>gradeGenericQuestion(D116,E116,F116,G116)</f>
        <v>2Exception</v>
      </c>
      <c r="J116" s="78"/>
      <c r="K116" s="78"/>
      <c r="L116" s="78"/>
      <c r="M116" s="78"/>
      <c r="N116" s="78"/>
      <c r="O116" s="78"/>
      <c r="P116" s="78"/>
    </row>
    <row r="117" spans="3:16" s="40" customFormat="1" x14ac:dyDescent="0.25">
      <c r="J117" s="78"/>
      <c r="K117" s="78"/>
      <c r="L117" s="78"/>
      <c r="M117" s="78"/>
      <c r="N117" s="78"/>
      <c r="O117" s="78"/>
      <c r="P117" s="78"/>
    </row>
    <row r="118" spans="3:16" s="40" customFormat="1" x14ac:dyDescent="0.25">
      <c r="C118" s="40" t="s">
        <v>136</v>
      </c>
      <c r="D118" s="40" t="s">
        <v>129</v>
      </c>
      <c r="E118" s="65">
        <v>-2100000</v>
      </c>
      <c r="F118" s="40">
        <v>0.5</v>
      </c>
      <c r="G118" s="40" t="e">
        <f>#REF!</f>
        <v>#REF!</v>
      </c>
      <c r="H118" s="52" t="str">
        <f>gradeGenericQuestion(D118,E118:E119,F118,G118)</f>
        <v>2Exception</v>
      </c>
      <c r="J118" s="78"/>
      <c r="K118" s="78"/>
      <c r="L118" s="78"/>
      <c r="M118" s="78"/>
      <c r="N118" s="78"/>
      <c r="O118" s="78"/>
      <c r="P118" s="78"/>
    </row>
    <row r="119" spans="3:16" s="40" customFormat="1" x14ac:dyDescent="0.25">
      <c r="E119" s="65">
        <v>2100000</v>
      </c>
      <c r="F119" s="40">
        <v>0.5</v>
      </c>
      <c r="J119" s="78"/>
      <c r="K119" s="78"/>
      <c r="L119" s="78"/>
      <c r="M119" s="78"/>
      <c r="N119" s="78"/>
      <c r="O119" s="78"/>
      <c r="P119" s="78"/>
    </row>
    <row r="120" spans="3:16" s="40" customFormat="1" x14ac:dyDescent="0.25">
      <c r="D120" s="40" t="s">
        <v>129</v>
      </c>
      <c r="E120" s="65">
        <v>-2100000</v>
      </c>
      <c r="F120" s="40">
        <v>0.5</v>
      </c>
      <c r="G120" s="40" t="e">
        <f>#REF!</f>
        <v>#REF!</v>
      </c>
      <c r="H120" s="52" t="str">
        <f>gradeGenericQuestion(D120,E120:E121,F120,G120)</f>
        <v>2Exception</v>
      </c>
      <c r="J120" s="78"/>
      <c r="K120" s="78"/>
      <c r="L120" s="78"/>
      <c r="M120" s="78"/>
      <c r="N120" s="78"/>
      <c r="O120" s="78"/>
      <c r="P120" s="78"/>
    </row>
    <row r="121" spans="3:16" s="40" customFormat="1" x14ac:dyDescent="0.25">
      <c r="E121" s="65">
        <v>2100000</v>
      </c>
      <c r="F121" s="40">
        <v>0.5</v>
      </c>
      <c r="J121" s="78"/>
      <c r="K121" s="78"/>
      <c r="L121" s="78"/>
      <c r="M121" s="78"/>
      <c r="N121" s="78"/>
      <c r="O121" s="78"/>
      <c r="P121" s="78"/>
    </row>
    <row r="122" spans="3:16" s="40" customFormat="1" x14ac:dyDescent="0.25">
      <c r="J122" s="78"/>
      <c r="K122" s="78"/>
      <c r="L122" s="78"/>
      <c r="M122" s="78"/>
      <c r="N122" s="78"/>
      <c r="O122" s="78"/>
      <c r="P122" s="78"/>
    </row>
    <row r="123" spans="3:16" s="40" customFormat="1" x14ac:dyDescent="0.25">
      <c r="C123" s="40" t="s">
        <v>137</v>
      </c>
      <c r="D123" s="40" t="s">
        <v>129</v>
      </c>
      <c r="E123" s="65">
        <v>2300000</v>
      </c>
      <c r="F123" s="40">
        <v>0.5</v>
      </c>
      <c r="G123" s="40" t="e">
        <f>#REF!</f>
        <v>#REF!</v>
      </c>
      <c r="H123" s="52" t="str">
        <f t="shared" ref="H123:H128" si="1">gradeGenericQuestion(D123,E123,F123,G123)</f>
        <v>2Exception</v>
      </c>
      <c r="J123" s="78"/>
      <c r="K123" s="78"/>
      <c r="L123" s="78"/>
      <c r="M123" s="78"/>
      <c r="N123" s="78"/>
      <c r="O123" s="78"/>
      <c r="P123" s="78"/>
    </row>
    <row r="124" spans="3:16" s="40" customFormat="1" x14ac:dyDescent="0.25">
      <c r="D124" s="40" t="s">
        <v>129</v>
      </c>
      <c r="E124" s="65">
        <v>27800000</v>
      </c>
      <c r="F124" s="40">
        <v>0.5</v>
      </c>
      <c r="G124" s="40" t="e">
        <f>#REF!</f>
        <v>#REF!</v>
      </c>
      <c r="H124" s="52" t="str">
        <f t="shared" si="1"/>
        <v>2Exception</v>
      </c>
      <c r="J124" s="78"/>
      <c r="K124" s="78"/>
      <c r="L124" s="78"/>
      <c r="M124" s="78"/>
      <c r="N124" s="78"/>
      <c r="O124" s="78"/>
      <c r="P124" s="78"/>
    </row>
    <row r="125" spans="3:16" s="40" customFormat="1" x14ac:dyDescent="0.25">
      <c r="D125" s="40" t="s">
        <v>129</v>
      </c>
      <c r="E125" s="65">
        <v>262000</v>
      </c>
      <c r="F125" s="40">
        <v>0.5</v>
      </c>
      <c r="G125" s="40" t="e">
        <f>#REF!</f>
        <v>#REF!</v>
      </c>
      <c r="H125" s="52" t="str">
        <f t="shared" si="1"/>
        <v>2Exception</v>
      </c>
      <c r="J125" s="78"/>
      <c r="K125" s="78"/>
      <c r="L125" s="78"/>
      <c r="M125" s="78"/>
      <c r="N125" s="78"/>
      <c r="O125" s="78"/>
      <c r="P125" s="78"/>
    </row>
    <row r="126" spans="3:16" s="40" customFormat="1" x14ac:dyDescent="0.25">
      <c r="D126" s="40" t="s">
        <v>129</v>
      </c>
      <c r="E126" s="65">
        <v>7360000</v>
      </c>
      <c r="F126" s="40">
        <v>0.5</v>
      </c>
      <c r="G126" s="40" t="e">
        <f>#REF!</f>
        <v>#REF!</v>
      </c>
      <c r="H126" s="52" t="str">
        <f t="shared" si="1"/>
        <v>2Exception</v>
      </c>
      <c r="J126" s="78"/>
      <c r="K126" s="78"/>
      <c r="L126" s="78"/>
      <c r="M126" s="78"/>
      <c r="N126" s="78"/>
      <c r="O126" s="78"/>
      <c r="P126" s="78"/>
    </row>
    <row r="127" spans="3:16" s="40" customFormat="1" x14ac:dyDescent="0.25">
      <c r="D127" s="40" t="s">
        <v>129</v>
      </c>
      <c r="E127" s="65">
        <v>27100000</v>
      </c>
      <c r="F127" s="40">
        <v>0.5</v>
      </c>
      <c r="G127" s="40" t="e">
        <f>#REF!</f>
        <v>#REF!</v>
      </c>
      <c r="H127" s="52" t="str">
        <f t="shared" si="1"/>
        <v>2Exception</v>
      </c>
      <c r="J127" s="78"/>
      <c r="K127" s="78"/>
      <c r="L127" s="78"/>
      <c r="M127" s="78"/>
      <c r="N127" s="78"/>
      <c r="O127" s="78"/>
      <c r="P127" s="78"/>
    </row>
    <row r="128" spans="3:16" s="40" customFormat="1" x14ac:dyDescent="0.25">
      <c r="D128" s="40" t="s">
        <v>129</v>
      </c>
      <c r="E128" s="65">
        <v>62260000</v>
      </c>
      <c r="F128" s="40">
        <v>1</v>
      </c>
      <c r="G128" s="40" t="e">
        <f>#REF!</f>
        <v>#REF!</v>
      </c>
      <c r="H128" s="52" t="str">
        <f t="shared" si="1"/>
        <v>2Exception</v>
      </c>
      <c r="J128" s="78"/>
      <c r="K128" s="78"/>
      <c r="L128" s="78"/>
      <c r="M128" s="78"/>
      <c r="N128" s="78"/>
      <c r="O128" s="78"/>
      <c r="P128" s="78"/>
    </row>
    <row r="129" spans="1:16" s="40" customFormat="1" x14ac:dyDescent="0.25">
      <c r="C129" s="40" t="s">
        <v>130</v>
      </c>
      <c r="H129" s="38">
        <f>SUM(H87:H128)</f>
        <v>0</v>
      </c>
      <c r="J129" s="78"/>
      <c r="K129" s="78"/>
      <c r="L129" s="78"/>
      <c r="M129" s="78"/>
      <c r="N129" s="78"/>
      <c r="O129" s="78"/>
      <c r="P129" s="78"/>
    </row>
    <row r="130" spans="1:16" s="40" customFormat="1" x14ac:dyDescent="0.25">
      <c r="A130" s="40" t="s">
        <v>138</v>
      </c>
      <c r="B130" s="40" t="s">
        <v>139</v>
      </c>
      <c r="C130" s="40">
        <v>2020</v>
      </c>
      <c r="D130" s="40" t="s">
        <v>129</v>
      </c>
      <c r="E130" s="40">
        <v>1.39</v>
      </c>
      <c r="F130" s="40">
        <v>0.5</v>
      </c>
      <c r="G130" s="67" t="e">
        <f>ROUND(#REF!,2)</f>
        <v>#REF!</v>
      </c>
      <c r="H130" s="52" t="str">
        <f t="shared" ref="H130:H149" si="2">gradeGenericQuestion(D130,E130,F130,G130)</f>
        <v>2Exception</v>
      </c>
      <c r="J130" s="78"/>
      <c r="K130" s="78"/>
      <c r="L130" s="78"/>
      <c r="M130" s="78"/>
      <c r="N130" s="78"/>
      <c r="O130" s="78"/>
      <c r="P130" s="78"/>
    </row>
    <row r="131" spans="1:16" s="40" customFormat="1" x14ac:dyDescent="0.25">
      <c r="C131" s="40">
        <v>2019</v>
      </c>
      <c r="D131" s="40" t="s">
        <v>129</v>
      </c>
      <c r="E131" s="40">
        <v>1.36</v>
      </c>
      <c r="F131" s="40">
        <v>0.5</v>
      </c>
      <c r="G131" s="67" t="e">
        <f>ROUND(#REF!,2)</f>
        <v>#REF!</v>
      </c>
      <c r="H131" s="52" t="str">
        <f t="shared" si="2"/>
        <v>2Exception</v>
      </c>
      <c r="J131" s="78"/>
      <c r="K131" s="78"/>
      <c r="L131" s="78"/>
      <c r="M131" s="78"/>
      <c r="N131" s="78"/>
      <c r="O131" s="78"/>
      <c r="P131" s="78"/>
    </row>
    <row r="132" spans="1:16" s="40" customFormat="1" x14ac:dyDescent="0.25">
      <c r="C132" s="40" t="s">
        <v>140</v>
      </c>
      <c r="D132" s="40" t="s">
        <v>128</v>
      </c>
      <c r="E132" s="40" t="s">
        <v>112</v>
      </c>
      <c r="F132" s="40">
        <v>0.5</v>
      </c>
      <c r="G132" s="40" t="e">
        <f>#REF!</f>
        <v>#REF!</v>
      </c>
      <c r="H132" s="52" t="str">
        <f t="shared" si="2"/>
        <v>2Exception</v>
      </c>
      <c r="J132" s="78"/>
      <c r="K132" s="78"/>
      <c r="L132" s="78"/>
      <c r="M132" s="78"/>
      <c r="N132" s="78"/>
      <c r="O132" s="78"/>
      <c r="P132" s="78"/>
    </row>
    <row r="133" spans="1:16" s="40" customFormat="1" x14ac:dyDescent="0.25">
      <c r="B133" s="40" t="s">
        <v>141</v>
      </c>
      <c r="C133" s="40">
        <v>2020</v>
      </c>
      <c r="D133" s="40" t="s">
        <v>129</v>
      </c>
      <c r="E133" s="40">
        <v>1.19</v>
      </c>
      <c r="F133" s="40">
        <v>0.5</v>
      </c>
      <c r="G133" s="67" t="e">
        <f>ROUND(#REF!,2)</f>
        <v>#REF!</v>
      </c>
      <c r="H133" s="52" t="str">
        <f t="shared" si="2"/>
        <v>2Exception</v>
      </c>
      <c r="J133" s="78"/>
      <c r="K133" s="78"/>
      <c r="L133" s="78"/>
      <c r="M133" s="78"/>
      <c r="N133" s="78"/>
      <c r="O133" s="78"/>
      <c r="P133" s="78"/>
    </row>
    <row r="134" spans="1:16" s="40" customFormat="1" x14ac:dyDescent="0.25">
      <c r="C134" s="40">
        <v>2019</v>
      </c>
      <c r="D134" s="40" t="s">
        <v>129</v>
      </c>
      <c r="E134" s="84">
        <v>1.2</v>
      </c>
      <c r="F134" s="40">
        <v>0.5</v>
      </c>
      <c r="G134" s="67" t="e">
        <f>ROUND(#REF!,2)</f>
        <v>#REF!</v>
      </c>
      <c r="H134" s="52" t="str">
        <f t="shared" si="2"/>
        <v>2Exception</v>
      </c>
      <c r="J134" s="78"/>
      <c r="K134" s="78"/>
      <c r="L134" s="78"/>
      <c r="M134" s="78"/>
      <c r="N134" s="78"/>
      <c r="O134" s="78"/>
      <c r="P134" s="78"/>
    </row>
    <row r="135" spans="1:16" s="40" customFormat="1" x14ac:dyDescent="0.25">
      <c r="C135" s="40" t="s">
        <v>140</v>
      </c>
      <c r="D135" s="40" t="s">
        <v>128</v>
      </c>
      <c r="E135" s="40" t="s">
        <v>111</v>
      </c>
      <c r="F135" s="40">
        <v>0.5</v>
      </c>
      <c r="G135" s="40" t="e">
        <f>#REF!</f>
        <v>#REF!</v>
      </c>
      <c r="H135" s="52" t="str">
        <f t="shared" si="2"/>
        <v>2Exception</v>
      </c>
      <c r="J135" s="78"/>
      <c r="K135" s="78"/>
      <c r="L135" s="78"/>
      <c r="M135" s="78"/>
      <c r="N135" s="78"/>
      <c r="O135" s="78"/>
      <c r="P135" s="78"/>
    </row>
    <row r="136" spans="1:16" s="40" customFormat="1" x14ac:dyDescent="0.25">
      <c r="B136" s="40" t="s">
        <v>142</v>
      </c>
      <c r="D136" s="40" t="s">
        <v>129</v>
      </c>
      <c r="E136" s="40">
        <v>20.170000000000002</v>
      </c>
      <c r="F136" s="40">
        <v>0.5</v>
      </c>
      <c r="G136" s="67" t="e">
        <f>ROUND(#REF!,2)</f>
        <v>#REF!</v>
      </c>
      <c r="H136" s="52" t="str">
        <f t="shared" si="2"/>
        <v>2Exception</v>
      </c>
      <c r="J136" s="78"/>
      <c r="K136" s="78"/>
      <c r="L136" s="78"/>
      <c r="M136" s="78"/>
      <c r="N136" s="78"/>
      <c r="O136" s="78"/>
      <c r="P136" s="78"/>
    </row>
    <row r="137" spans="1:16" s="40" customFormat="1" x14ac:dyDescent="0.25">
      <c r="B137" s="40" t="s">
        <v>143</v>
      </c>
      <c r="D137" s="40" t="s">
        <v>129</v>
      </c>
      <c r="E137" s="40">
        <v>18.100000000000001</v>
      </c>
      <c r="F137" s="40">
        <v>0.5</v>
      </c>
      <c r="G137" s="67" t="e">
        <f>ROUND(#REF!,2)</f>
        <v>#REF!</v>
      </c>
      <c r="H137" s="52" t="str">
        <f t="shared" si="2"/>
        <v>2Exception</v>
      </c>
      <c r="J137" s="78"/>
      <c r="K137" s="78"/>
      <c r="L137" s="78"/>
      <c r="M137" s="78"/>
      <c r="N137" s="78"/>
      <c r="O137" s="78"/>
      <c r="P137" s="78"/>
    </row>
    <row r="138" spans="1:16" s="40" customFormat="1" x14ac:dyDescent="0.25">
      <c r="B138" s="40" t="s">
        <v>144</v>
      </c>
      <c r="D138" s="40" t="s">
        <v>129</v>
      </c>
      <c r="E138" s="40">
        <v>27.86</v>
      </c>
      <c r="F138" s="40">
        <v>0.5</v>
      </c>
      <c r="G138" s="67" t="e">
        <f>ROUND(#REF!,2)</f>
        <v>#REF!</v>
      </c>
      <c r="H138" s="52" t="str">
        <f t="shared" si="2"/>
        <v>2Exception</v>
      </c>
      <c r="J138" s="78"/>
      <c r="K138" s="78"/>
      <c r="L138" s="78"/>
      <c r="M138" s="78"/>
      <c r="N138" s="78"/>
      <c r="O138" s="78"/>
      <c r="P138" s="78"/>
    </row>
    <row r="139" spans="1:16" s="40" customFormat="1" x14ac:dyDescent="0.25">
      <c r="B139" s="40" t="s">
        <v>145</v>
      </c>
      <c r="D139" s="40" t="s">
        <v>129</v>
      </c>
      <c r="E139" s="40">
        <v>13.1</v>
      </c>
      <c r="F139" s="40">
        <v>0.5</v>
      </c>
      <c r="G139" s="67" t="e">
        <f>ROUND(#REF!,2)</f>
        <v>#REF!</v>
      </c>
      <c r="H139" s="52" t="str">
        <f t="shared" si="2"/>
        <v>2Exception</v>
      </c>
      <c r="J139" s="78"/>
      <c r="K139" s="78"/>
      <c r="L139" s="78"/>
      <c r="M139" s="78"/>
      <c r="N139" s="78"/>
      <c r="O139" s="78"/>
      <c r="P139" s="78"/>
    </row>
    <row r="140" spans="1:16" s="40" customFormat="1" x14ac:dyDescent="0.25">
      <c r="B140" s="40" t="s">
        <v>146</v>
      </c>
      <c r="D140" s="40" t="s">
        <v>129</v>
      </c>
      <c r="E140" s="40">
        <v>12.18</v>
      </c>
      <c r="F140" s="40">
        <v>0.5</v>
      </c>
      <c r="G140" s="67" t="e">
        <f>ROUND(#REF!,2)</f>
        <v>#REF!</v>
      </c>
      <c r="H140" s="52" t="str">
        <f t="shared" si="2"/>
        <v>2Exception</v>
      </c>
      <c r="J140" s="78"/>
      <c r="K140" s="78"/>
      <c r="L140" s="78"/>
      <c r="M140" s="78"/>
      <c r="N140" s="78"/>
      <c r="O140" s="78"/>
      <c r="P140" s="78"/>
    </row>
    <row r="141" spans="1:16" s="40" customFormat="1" x14ac:dyDescent="0.25">
      <c r="B141" s="40" t="s">
        <v>147</v>
      </c>
      <c r="D141" s="40" t="s">
        <v>129</v>
      </c>
      <c r="E141" s="40">
        <v>29.96</v>
      </c>
      <c r="F141" s="40">
        <v>0.5</v>
      </c>
      <c r="G141" s="67" t="e">
        <f>ROUND(#REF!,2)</f>
        <v>#REF!</v>
      </c>
      <c r="H141" s="52" t="str">
        <f t="shared" si="2"/>
        <v>2Exception</v>
      </c>
      <c r="J141" s="78"/>
      <c r="K141" s="78"/>
      <c r="L141" s="78"/>
      <c r="M141" s="78"/>
      <c r="N141" s="78"/>
      <c r="O141" s="78"/>
      <c r="P141" s="78"/>
    </row>
    <row r="142" spans="1:16" s="40" customFormat="1" x14ac:dyDescent="0.25">
      <c r="B142" s="40" t="s">
        <v>148</v>
      </c>
      <c r="C142" s="40">
        <v>2020</v>
      </c>
      <c r="D142" s="40" t="s">
        <v>129</v>
      </c>
      <c r="E142" s="68">
        <v>0.58169999999999999</v>
      </c>
      <c r="F142" s="40">
        <v>0.5</v>
      </c>
      <c r="G142" s="69" t="e">
        <f>ROUND(#REF!,4)</f>
        <v>#REF!</v>
      </c>
      <c r="H142" s="52" t="str">
        <f t="shared" si="2"/>
        <v>2Exception</v>
      </c>
      <c r="J142" s="78"/>
      <c r="K142" s="78"/>
      <c r="L142" s="78"/>
      <c r="M142" s="78"/>
      <c r="N142" s="78"/>
      <c r="O142" s="78"/>
      <c r="P142" s="78"/>
    </row>
    <row r="143" spans="1:16" s="40" customFormat="1" x14ac:dyDescent="0.25">
      <c r="C143" s="40">
        <v>2019</v>
      </c>
      <c r="D143" s="40" t="s">
        <v>129</v>
      </c>
      <c r="E143" s="68">
        <v>0.61099999999999999</v>
      </c>
      <c r="F143" s="40">
        <v>0.5</v>
      </c>
      <c r="G143" s="68" t="e">
        <f>ROUND(#REF!,4)</f>
        <v>#REF!</v>
      </c>
      <c r="H143" s="52" t="str">
        <f t="shared" si="2"/>
        <v>2Exception</v>
      </c>
      <c r="J143" s="78"/>
      <c r="K143" s="78"/>
      <c r="L143" s="78"/>
      <c r="M143" s="78"/>
      <c r="N143" s="78"/>
      <c r="O143" s="78"/>
      <c r="P143" s="78"/>
    </row>
    <row r="144" spans="1:16" s="40" customFormat="1" x14ac:dyDescent="0.25">
      <c r="C144" s="40" t="s">
        <v>140</v>
      </c>
      <c r="D144" s="40" t="s">
        <v>128</v>
      </c>
      <c r="E144" s="40" t="s">
        <v>111</v>
      </c>
      <c r="F144" s="40">
        <v>0.5</v>
      </c>
      <c r="G144" s="40" t="e">
        <f>#REF!</f>
        <v>#REF!</v>
      </c>
      <c r="H144" s="52" t="str">
        <f t="shared" si="2"/>
        <v>2Exception</v>
      </c>
      <c r="J144" s="78"/>
      <c r="K144" s="78"/>
      <c r="L144" s="78"/>
      <c r="M144" s="78"/>
      <c r="N144" s="78"/>
      <c r="O144" s="78"/>
      <c r="P144" s="78"/>
    </row>
    <row r="145" spans="1:16" s="40" customFormat="1" x14ac:dyDescent="0.25">
      <c r="B145" s="40" t="s">
        <v>149</v>
      </c>
      <c r="C145" s="40">
        <v>2020</v>
      </c>
      <c r="D145" s="40" t="s">
        <v>129</v>
      </c>
      <c r="E145" s="68">
        <v>0.14449999999999999</v>
      </c>
      <c r="F145" s="40">
        <v>0.5</v>
      </c>
      <c r="G145" s="68" t="e">
        <f>ROUND(#REF!,4)</f>
        <v>#REF!</v>
      </c>
      <c r="H145" s="52" t="str">
        <f t="shared" si="2"/>
        <v>2Exception</v>
      </c>
      <c r="J145" s="78"/>
      <c r="K145" s="78"/>
      <c r="L145" s="78"/>
      <c r="M145" s="78"/>
      <c r="N145" s="78"/>
      <c r="O145" s="78"/>
      <c r="P145" s="78"/>
    </row>
    <row r="146" spans="1:16" s="40" customFormat="1" x14ac:dyDescent="0.25">
      <c r="C146" s="40">
        <v>2019</v>
      </c>
      <c r="D146" s="40" t="s">
        <v>129</v>
      </c>
      <c r="E146" s="68">
        <v>0.1615</v>
      </c>
      <c r="F146" s="40">
        <v>0.5</v>
      </c>
      <c r="G146" s="68" t="e">
        <f>ROUND(#REF!,4)</f>
        <v>#REF!</v>
      </c>
      <c r="H146" s="52" t="str">
        <f t="shared" si="2"/>
        <v>2Exception</v>
      </c>
      <c r="J146" s="78"/>
      <c r="K146" s="78"/>
      <c r="L146" s="78"/>
      <c r="M146" s="78"/>
      <c r="N146" s="78"/>
      <c r="O146" s="78"/>
      <c r="P146" s="78"/>
    </row>
    <row r="147" spans="1:16" s="40" customFormat="1" x14ac:dyDescent="0.25">
      <c r="C147" s="40" t="s">
        <v>140</v>
      </c>
      <c r="D147" s="40" t="s">
        <v>128</v>
      </c>
      <c r="E147" s="40" t="s">
        <v>111</v>
      </c>
      <c r="F147" s="40">
        <v>0.5</v>
      </c>
      <c r="G147" s="40" t="e">
        <f>#REF!</f>
        <v>#REF!</v>
      </c>
      <c r="H147" s="52" t="str">
        <f t="shared" si="2"/>
        <v>2Exception</v>
      </c>
      <c r="J147" s="78"/>
      <c r="K147" s="78"/>
      <c r="L147" s="78"/>
      <c r="M147" s="78"/>
      <c r="N147" s="78"/>
      <c r="O147" s="78"/>
      <c r="P147" s="78"/>
    </row>
    <row r="148" spans="1:16" s="40" customFormat="1" x14ac:dyDescent="0.25">
      <c r="B148" s="40" t="s">
        <v>150</v>
      </c>
      <c r="D148" s="40" t="s">
        <v>129</v>
      </c>
      <c r="E148" s="68">
        <v>0.45419999999999999</v>
      </c>
      <c r="F148" s="40">
        <v>0.5</v>
      </c>
      <c r="G148" s="68" t="e">
        <f>ROUND(#REF!,4)</f>
        <v>#REF!</v>
      </c>
      <c r="H148" s="52" t="str">
        <f t="shared" si="2"/>
        <v>2Exception</v>
      </c>
      <c r="J148" s="78"/>
      <c r="K148" s="78"/>
      <c r="L148" s="78"/>
      <c r="M148" s="78"/>
      <c r="N148" s="78"/>
      <c r="O148" s="78"/>
      <c r="P148" s="78"/>
    </row>
    <row r="149" spans="1:16" s="40" customFormat="1" x14ac:dyDescent="0.25">
      <c r="B149" s="40" t="s">
        <v>151</v>
      </c>
      <c r="D149" s="40" t="s">
        <v>129</v>
      </c>
      <c r="E149" s="68">
        <v>0.67420000000000002</v>
      </c>
      <c r="F149" s="40">
        <v>0.5</v>
      </c>
      <c r="G149" s="68" t="e">
        <f>ROUND(#REF!,4)</f>
        <v>#REF!</v>
      </c>
      <c r="H149" s="52" t="str">
        <f t="shared" si="2"/>
        <v>2Exception</v>
      </c>
      <c r="J149" s="78"/>
      <c r="K149" s="78"/>
      <c r="L149" s="78"/>
      <c r="M149" s="78"/>
      <c r="N149" s="78"/>
      <c r="O149" s="78"/>
      <c r="P149" s="78"/>
    </row>
    <row r="150" spans="1:16" s="40" customFormat="1" x14ac:dyDescent="0.25">
      <c r="J150" s="78"/>
      <c r="K150" s="78"/>
      <c r="L150" s="78"/>
      <c r="M150" s="78"/>
      <c r="N150" s="78"/>
      <c r="O150" s="78"/>
      <c r="P150" s="78"/>
    </row>
    <row r="151" spans="1:16" s="40" customFormat="1" x14ac:dyDescent="0.25">
      <c r="B151" s="40" t="s">
        <v>152</v>
      </c>
      <c r="D151" s="40" t="s">
        <v>128</v>
      </c>
      <c r="H151" s="40">
        <v>2</v>
      </c>
      <c r="J151" s="78"/>
      <c r="K151" s="78"/>
      <c r="L151" s="78"/>
      <c r="M151" s="78"/>
      <c r="N151" s="78"/>
      <c r="O151" s="78"/>
      <c r="P151" s="78"/>
    </row>
    <row r="152" spans="1:16" s="40" customFormat="1" x14ac:dyDescent="0.25">
      <c r="B152" s="40" t="s">
        <v>153</v>
      </c>
      <c r="D152" s="40" t="s">
        <v>128</v>
      </c>
      <c r="H152" s="40">
        <v>2</v>
      </c>
      <c r="J152" s="78"/>
      <c r="K152" s="78"/>
      <c r="L152" s="78"/>
      <c r="M152" s="78"/>
      <c r="N152" s="78"/>
      <c r="O152" s="78"/>
      <c r="P152" s="78"/>
    </row>
    <row r="153" spans="1:16" s="40" customFormat="1" x14ac:dyDescent="0.25">
      <c r="B153" s="40" t="s">
        <v>154</v>
      </c>
      <c r="D153" s="40" t="s">
        <v>128</v>
      </c>
      <c r="H153" s="40">
        <v>2</v>
      </c>
      <c r="J153" s="78"/>
      <c r="K153" s="78"/>
      <c r="L153" s="78"/>
      <c r="M153" s="78"/>
      <c r="N153" s="78"/>
      <c r="O153" s="78"/>
      <c r="P153" s="78"/>
    </row>
    <row r="154" spans="1:16" s="40" customFormat="1" x14ac:dyDescent="0.25">
      <c r="C154" s="40" t="s">
        <v>130</v>
      </c>
      <c r="H154" s="38">
        <f>SUM(H130:H153)</f>
        <v>6</v>
      </c>
      <c r="J154" s="78"/>
      <c r="K154" s="78"/>
      <c r="L154" s="78"/>
      <c r="M154" s="78"/>
      <c r="N154" s="78"/>
      <c r="O154" s="78"/>
      <c r="P154" s="78"/>
    </row>
    <row r="155" spans="1:16" s="40" customFormat="1" x14ac:dyDescent="0.25">
      <c r="J155" s="78"/>
      <c r="K155" s="78"/>
      <c r="L155" s="78"/>
      <c r="M155" s="78"/>
      <c r="N155" s="78"/>
      <c r="O155" s="78"/>
      <c r="P155" s="78"/>
    </row>
    <row r="156" spans="1:16" s="40" customFormat="1" x14ac:dyDescent="0.25">
      <c r="A156" s="40" t="s">
        <v>155</v>
      </c>
      <c r="B156" s="40">
        <v>1</v>
      </c>
      <c r="D156" s="40" t="s">
        <v>128</v>
      </c>
      <c r="E156" s="40" t="s">
        <v>45</v>
      </c>
      <c r="F156" s="40">
        <v>1</v>
      </c>
      <c r="G156" s="40" t="e">
        <f>#REF!</f>
        <v>#REF!</v>
      </c>
      <c r="H156" s="52" t="str">
        <f t="shared" ref="H156:H170" si="3">gradeGenericQuestion(D156,E156,F156,G156)</f>
        <v>2Exception</v>
      </c>
      <c r="J156" s="78"/>
      <c r="K156" s="78"/>
      <c r="L156" s="78"/>
      <c r="M156" s="78"/>
      <c r="N156" s="78"/>
      <c r="O156" s="78"/>
      <c r="P156" s="78"/>
    </row>
    <row r="157" spans="1:16" s="40" customFormat="1" x14ac:dyDescent="0.25">
      <c r="B157" s="40">
        <v>2</v>
      </c>
      <c r="D157" s="40" t="s">
        <v>128</v>
      </c>
      <c r="E157" s="40" t="s">
        <v>44</v>
      </c>
      <c r="F157" s="40">
        <v>1</v>
      </c>
      <c r="G157" s="40" t="e">
        <f>#REF!</f>
        <v>#REF!</v>
      </c>
      <c r="H157" s="52" t="str">
        <f t="shared" si="3"/>
        <v>2Exception</v>
      </c>
      <c r="J157" s="78"/>
      <c r="K157" s="78"/>
      <c r="L157" s="78"/>
      <c r="M157" s="78"/>
      <c r="N157" s="78"/>
      <c r="O157" s="78"/>
      <c r="P157" s="78"/>
    </row>
    <row r="158" spans="1:16" s="40" customFormat="1" x14ac:dyDescent="0.25">
      <c r="B158" s="40">
        <v>3</v>
      </c>
      <c r="D158" s="40" t="s">
        <v>128</v>
      </c>
      <c r="E158" s="40" t="s">
        <v>43</v>
      </c>
      <c r="F158" s="40">
        <v>1</v>
      </c>
      <c r="G158" s="40" t="e">
        <f>#REF!</f>
        <v>#REF!</v>
      </c>
      <c r="H158" s="52" t="str">
        <f t="shared" si="3"/>
        <v>2Exception</v>
      </c>
      <c r="J158" s="78"/>
      <c r="K158" s="78"/>
      <c r="L158" s="78"/>
      <c r="M158" s="78"/>
      <c r="N158" s="78"/>
      <c r="O158" s="78"/>
      <c r="P158" s="78"/>
    </row>
    <row r="159" spans="1:16" s="40" customFormat="1" x14ac:dyDescent="0.25">
      <c r="B159" s="40">
        <v>4</v>
      </c>
      <c r="D159" s="40" t="s">
        <v>128</v>
      </c>
      <c r="E159" s="40" t="s">
        <v>46</v>
      </c>
      <c r="F159" s="40">
        <v>1</v>
      </c>
      <c r="G159" s="40" t="e">
        <f>#REF!</f>
        <v>#REF!</v>
      </c>
      <c r="H159" s="52" t="str">
        <f t="shared" si="3"/>
        <v>2Exception</v>
      </c>
      <c r="J159" s="78"/>
      <c r="K159" s="78"/>
      <c r="L159" s="78"/>
      <c r="M159" s="78"/>
      <c r="N159" s="78"/>
      <c r="O159" s="78"/>
      <c r="P159" s="78"/>
    </row>
    <row r="160" spans="1:16" s="40" customFormat="1" x14ac:dyDescent="0.25">
      <c r="B160" s="40">
        <v>5</v>
      </c>
      <c r="D160" s="40" t="s">
        <v>128</v>
      </c>
      <c r="E160" s="40" t="s">
        <v>46</v>
      </c>
      <c r="F160" s="40">
        <v>1</v>
      </c>
      <c r="G160" s="40" t="e">
        <f>#REF!</f>
        <v>#REF!</v>
      </c>
      <c r="H160" s="52" t="str">
        <f t="shared" si="3"/>
        <v>2Exception</v>
      </c>
      <c r="J160" s="78"/>
      <c r="K160" s="78"/>
      <c r="L160" s="78"/>
      <c r="M160" s="78"/>
      <c r="N160" s="78"/>
      <c r="O160" s="78"/>
      <c r="P160" s="78"/>
    </row>
    <row r="161" spans="1:16" s="40" customFormat="1" x14ac:dyDescent="0.25">
      <c r="B161" s="40">
        <v>6</v>
      </c>
      <c r="D161" s="40" t="s">
        <v>128</v>
      </c>
      <c r="E161" s="40" t="s">
        <v>43</v>
      </c>
      <c r="F161" s="40">
        <v>1</v>
      </c>
      <c r="G161" s="40" t="e">
        <f>#REF!</f>
        <v>#REF!</v>
      </c>
      <c r="H161" s="52" t="str">
        <f t="shared" si="3"/>
        <v>2Exception</v>
      </c>
      <c r="J161" s="78"/>
      <c r="K161" s="78"/>
      <c r="L161" s="78"/>
      <c r="M161" s="78"/>
      <c r="N161" s="78"/>
      <c r="O161" s="78"/>
      <c r="P161" s="78"/>
    </row>
    <row r="162" spans="1:16" s="40" customFormat="1" x14ac:dyDescent="0.25">
      <c r="B162" s="40">
        <v>7</v>
      </c>
      <c r="D162" s="40" t="s">
        <v>128</v>
      </c>
      <c r="E162" s="40" t="s">
        <v>45</v>
      </c>
      <c r="F162" s="40">
        <v>1</v>
      </c>
      <c r="G162" s="40" t="e">
        <f>#REF!</f>
        <v>#REF!</v>
      </c>
      <c r="H162" s="52" t="str">
        <f t="shared" si="3"/>
        <v>2Exception</v>
      </c>
      <c r="J162" s="78"/>
      <c r="K162" s="78"/>
      <c r="L162" s="78"/>
      <c r="M162" s="78"/>
      <c r="N162" s="78"/>
      <c r="O162" s="78"/>
      <c r="P162" s="78"/>
    </row>
    <row r="163" spans="1:16" s="40" customFormat="1" x14ac:dyDescent="0.25">
      <c r="B163" s="40">
        <v>8</v>
      </c>
      <c r="D163" s="40" t="s">
        <v>128</v>
      </c>
      <c r="E163" s="40" t="s">
        <v>43</v>
      </c>
      <c r="F163" s="40">
        <v>1</v>
      </c>
      <c r="G163" s="40" t="e">
        <f>#REF!</f>
        <v>#REF!</v>
      </c>
      <c r="H163" s="52" t="str">
        <f t="shared" si="3"/>
        <v>2Exception</v>
      </c>
      <c r="J163" s="78"/>
      <c r="K163" s="78"/>
      <c r="L163" s="78"/>
      <c r="M163" s="78"/>
      <c r="N163" s="78"/>
      <c r="O163" s="78"/>
      <c r="P163" s="78"/>
    </row>
    <row r="164" spans="1:16" s="40" customFormat="1" x14ac:dyDescent="0.25">
      <c r="B164" s="40">
        <v>9</v>
      </c>
      <c r="D164" s="40" t="s">
        <v>128</v>
      </c>
      <c r="E164" s="40" t="s">
        <v>43</v>
      </c>
      <c r="F164" s="40">
        <v>1</v>
      </c>
      <c r="G164" s="40" t="e">
        <f>#REF!</f>
        <v>#REF!</v>
      </c>
      <c r="H164" s="52" t="str">
        <f t="shared" si="3"/>
        <v>2Exception</v>
      </c>
      <c r="J164" s="78"/>
      <c r="K164" s="78"/>
      <c r="L164" s="78"/>
      <c r="M164" s="78"/>
      <c r="N164" s="78"/>
      <c r="O164" s="78"/>
      <c r="P164" s="78"/>
    </row>
    <row r="165" spans="1:16" s="40" customFormat="1" x14ac:dyDescent="0.25">
      <c r="B165" s="40">
        <v>10</v>
      </c>
      <c r="D165" s="40" t="s">
        <v>128</v>
      </c>
      <c r="E165" s="40" t="s">
        <v>45</v>
      </c>
      <c r="F165" s="40">
        <v>1</v>
      </c>
      <c r="G165" s="40" t="e">
        <f>#REF!</f>
        <v>#REF!</v>
      </c>
      <c r="H165" s="52" t="str">
        <f t="shared" si="3"/>
        <v>2Exception</v>
      </c>
      <c r="J165" s="78"/>
      <c r="K165" s="78"/>
      <c r="L165" s="78"/>
      <c r="M165" s="78"/>
      <c r="N165" s="78"/>
      <c r="O165" s="78"/>
      <c r="P165" s="78"/>
    </row>
    <row r="166" spans="1:16" s="40" customFormat="1" x14ac:dyDescent="0.25">
      <c r="B166" s="40">
        <v>11</v>
      </c>
      <c r="D166" s="40" t="s">
        <v>128</v>
      </c>
      <c r="E166" s="40" t="s">
        <v>44</v>
      </c>
      <c r="F166" s="40">
        <v>1</v>
      </c>
      <c r="G166" s="40" t="e">
        <f>#REF!</f>
        <v>#REF!</v>
      </c>
      <c r="H166" s="52" t="str">
        <f t="shared" si="3"/>
        <v>2Exception</v>
      </c>
    </row>
    <row r="167" spans="1:16" s="40" customFormat="1" x14ac:dyDescent="0.25">
      <c r="B167" s="40">
        <v>12</v>
      </c>
      <c r="D167" s="40" t="s">
        <v>128</v>
      </c>
      <c r="E167" s="40" t="s">
        <v>46</v>
      </c>
      <c r="F167" s="40">
        <v>1</v>
      </c>
      <c r="G167" s="40" t="e">
        <f>#REF!</f>
        <v>#REF!</v>
      </c>
      <c r="H167" s="52" t="str">
        <f t="shared" si="3"/>
        <v>2Exception</v>
      </c>
    </row>
    <row r="168" spans="1:16" s="40" customFormat="1" x14ac:dyDescent="0.25">
      <c r="B168" s="40">
        <v>13</v>
      </c>
      <c r="D168" s="40" t="s">
        <v>128</v>
      </c>
      <c r="E168" s="40" t="s">
        <v>44</v>
      </c>
      <c r="F168" s="40">
        <v>1</v>
      </c>
      <c r="G168" s="40" t="e">
        <f>#REF!</f>
        <v>#REF!</v>
      </c>
      <c r="H168" s="52" t="str">
        <f t="shared" si="3"/>
        <v>2Exception</v>
      </c>
    </row>
    <row r="169" spans="1:16" s="40" customFormat="1" x14ac:dyDescent="0.25">
      <c r="B169" s="40">
        <v>14</v>
      </c>
      <c r="D169" s="40" t="s">
        <v>128</v>
      </c>
      <c r="E169" s="40" t="s">
        <v>73</v>
      </c>
      <c r="F169" s="40">
        <v>1</v>
      </c>
      <c r="G169" s="40" t="e">
        <f>#REF!</f>
        <v>#REF!</v>
      </c>
      <c r="H169" s="52" t="str">
        <f t="shared" si="3"/>
        <v>2Exception</v>
      </c>
    </row>
    <row r="170" spans="1:16" s="40" customFormat="1" x14ac:dyDescent="0.25">
      <c r="B170" s="40">
        <v>15</v>
      </c>
      <c r="D170" s="40" t="s">
        <v>128</v>
      </c>
      <c r="E170" s="40" t="s">
        <v>73</v>
      </c>
      <c r="F170" s="40">
        <v>1</v>
      </c>
      <c r="G170" s="40" t="e">
        <f>#REF!</f>
        <v>#REF!</v>
      </c>
      <c r="H170" s="52" t="str">
        <f t="shared" si="3"/>
        <v>2Exception</v>
      </c>
    </row>
    <row r="171" spans="1:16" s="40" customFormat="1" x14ac:dyDescent="0.25">
      <c r="C171" s="40" t="s">
        <v>130</v>
      </c>
      <c r="H171" s="38">
        <f>SUM(H156:H170)</f>
        <v>0</v>
      </c>
    </row>
    <row r="172" spans="1:16" x14ac:dyDescent="0.25">
      <c r="A172" s="40"/>
      <c r="B172" s="40"/>
      <c r="C172" s="40"/>
      <c r="D172" s="40"/>
      <c r="E172" s="40"/>
      <c r="F172" s="40"/>
      <c r="G172" s="40"/>
      <c r="H172" s="40"/>
      <c r="I172" s="40"/>
    </row>
  </sheetData>
  <sheetProtection algorithmName="SHA-512" hashValue="eSkHJiss9QlRoqdeYYxL9+6akVCJgm509mATxiWy3RJXQF86Ix4YeKUERqALbryEHNIszKWKH14dsv5bOJwIRw==" saltValue="0/Ss8nQ2bgzBMyA9CVSeRw==" spinCount="100000" sheet="1" objects="1" scenarios="1"/>
  <mergeCells count="3">
    <mergeCell ref="H10:J10"/>
    <mergeCell ref="G33:M33"/>
    <mergeCell ref="G34:M34"/>
  </mergeCells>
  <pageMargins left="0.7" right="0.7" top="0.75" bottom="0.75" header="0.3" footer="0.3"/>
  <pageSetup scale="54" orientation="landscape" r:id="rId1"/>
  <ignoredErrors>
    <ignoredError sqref="H43" formulaRange="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108</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109</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52B6C-F80A-45AA-86EF-F5CBC05B9A47}">
  <dimension ref="B2:E11"/>
  <sheetViews>
    <sheetView workbookViewId="0">
      <selection activeCell="D11" sqref="D11"/>
    </sheetView>
  </sheetViews>
  <sheetFormatPr defaultRowHeight="15" x14ac:dyDescent="0.25"/>
  <sheetData>
    <row r="2" spans="2:5" ht="15.75" thickBot="1" x14ac:dyDescent="0.3"/>
    <row r="3" spans="2:5" ht="45.75" thickBot="1" x14ac:dyDescent="0.3">
      <c r="B3" s="26" t="s">
        <v>113</v>
      </c>
      <c r="C3" s="107"/>
      <c r="D3" s="28" t="s">
        <v>51</v>
      </c>
      <c r="E3" s="28" t="s">
        <v>52</v>
      </c>
    </row>
    <row r="4" spans="2:5" ht="15.75" thickBot="1" x14ac:dyDescent="0.3">
      <c r="B4" s="29">
        <v>1</v>
      </c>
      <c r="C4" s="108"/>
      <c r="D4" s="109">
        <f>Answer1!A2</f>
        <v>0.3333333432674408</v>
      </c>
      <c r="E4" s="30">
        <v>10</v>
      </c>
    </row>
    <row r="5" spans="2:5" ht="15.75" thickBot="1" x14ac:dyDescent="0.3">
      <c r="B5" s="29">
        <v>2</v>
      </c>
      <c r="C5" s="108"/>
      <c r="D5" s="109">
        <f>Answer2!A1</f>
        <v>1.6046516895294189</v>
      </c>
      <c r="E5" s="30">
        <v>10</v>
      </c>
    </row>
    <row r="6" spans="2:5" ht="15.75" thickBot="1" x14ac:dyDescent="0.3">
      <c r="B6" s="29">
        <v>3</v>
      </c>
      <c r="C6" s="108"/>
      <c r="D6" s="109">
        <f>Answer3!A1</f>
        <v>10.000003814697266</v>
      </c>
      <c r="E6" s="30">
        <v>10</v>
      </c>
    </row>
    <row r="7" spans="2:5" ht="15.75" thickBot="1" x14ac:dyDescent="0.3">
      <c r="B7" s="29">
        <v>4</v>
      </c>
      <c r="C7" s="108"/>
      <c r="D7" s="109">
        <f>Answer4!A2</f>
        <v>10.000012397766113</v>
      </c>
      <c r="E7" s="30">
        <v>10</v>
      </c>
    </row>
    <row r="8" spans="2:5" ht="15.75" thickBot="1" x14ac:dyDescent="0.3">
      <c r="B8" s="29">
        <v>5</v>
      </c>
      <c r="C8" s="108"/>
      <c r="D8" s="109">
        <f>Answer5!A2</f>
        <v>10</v>
      </c>
      <c r="E8" s="30">
        <v>10</v>
      </c>
    </row>
    <row r="9" spans="2:5" ht="15.75" thickBot="1" x14ac:dyDescent="0.3">
      <c r="B9" s="29">
        <v>6</v>
      </c>
      <c r="C9" s="108"/>
      <c r="D9" s="110">
        <f>Answer6!A2</f>
        <v>1.7073163986206055</v>
      </c>
      <c r="E9" s="30">
        <v>10</v>
      </c>
    </row>
    <row r="10" spans="2:5" ht="15.75" thickBot="1" x14ac:dyDescent="0.3">
      <c r="B10" s="97">
        <v>7</v>
      </c>
      <c r="C10" s="111"/>
      <c r="D10" s="112">
        <f>Answer7!A2</f>
        <v>9.9999971389770508</v>
      </c>
      <c r="E10" s="30">
        <v>10</v>
      </c>
    </row>
    <row r="11" spans="2:5" x14ac:dyDescent="0.25">
      <c r="B11" s="98" t="s">
        <v>181</v>
      </c>
      <c r="C11" s="113"/>
      <c r="D11" s="114">
        <f>SUM(D4:D10)</f>
        <v>43.645314782857895</v>
      </c>
      <c r="E11" s="101">
        <f>SUM(E4:E10)</f>
        <v>70</v>
      </c>
    </row>
  </sheetData>
  <sheetProtection algorithmName="SHA-512" hashValue="1tGMsl+yMOmFRqqP8OFdZJ4XyDGCR5QXGk0QEMCZGAzHEDbp4hk6enP3Ngcfj3BSYn8UqnL3nI8Vo5WJK7qYwg==" saltValue="iZQ/sfkW4HUWbm4BPCxvw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3412-5FD3-4953-B5CA-5425F5D9980B}">
  <sheetPr codeName="Sheet2"/>
  <dimension ref="A1:L1074"/>
  <sheetViews>
    <sheetView workbookViewId="0">
      <selection activeCell="G24" sqref="G24"/>
    </sheetView>
  </sheetViews>
  <sheetFormatPr defaultRowHeight="15" x14ac:dyDescent="0.25"/>
  <cols>
    <col min="1" max="1" width="21.7109375" customWidth="1"/>
  </cols>
  <sheetData>
    <row r="1" spans="1:12" x14ac:dyDescent="0.25">
      <c r="A1" s="88" t="s">
        <v>166</v>
      </c>
      <c r="D1" t="s">
        <v>177</v>
      </c>
      <c r="H1" t="s">
        <v>186</v>
      </c>
      <c r="I1" s="94" t="s">
        <v>187</v>
      </c>
    </row>
    <row r="2" spans="1:12" ht="15.75" x14ac:dyDescent="0.25">
      <c r="A2" s="89" t="s">
        <v>534</v>
      </c>
    </row>
    <row r="3" spans="1:12" ht="38.450000000000003" customHeight="1" x14ac:dyDescent="0.25">
      <c r="A3" t="s">
        <v>172</v>
      </c>
    </row>
    <row r="4" spans="1:12" x14ac:dyDescent="0.25">
      <c r="L4" s="120" t="s">
        <v>543</v>
      </c>
    </row>
    <row r="5" spans="1:12" x14ac:dyDescent="0.25">
      <c r="A5" s="86" t="s">
        <v>546</v>
      </c>
      <c r="B5" s="86" t="s">
        <v>547</v>
      </c>
      <c r="C5" s="86" t="s">
        <v>548</v>
      </c>
      <c r="D5" t="s">
        <v>549</v>
      </c>
      <c r="L5" s="120" t="s">
        <v>673</v>
      </c>
    </row>
    <row r="6" spans="1:12" x14ac:dyDescent="0.25">
      <c r="A6" s="86">
        <v>321</v>
      </c>
      <c r="B6" s="86">
        <v>50</v>
      </c>
      <c r="C6" s="86">
        <v>641</v>
      </c>
      <c r="D6" t="s">
        <v>550</v>
      </c>
      <c r="L6" s="120" t="s">
        <v>674</v>
      </c>
    </row>
    <row r="7" spans="1:12" x14ac:dyDescent="0.25">
      <c r="A7">
        <v>325</v>
      </c>
      <c r="B7">
        <v>60</v>
      </c>
      <c r="C7">
        <v>641</v>
      </c>
      <c r="D7" t="s">
        <v>550</v>
      </c>
    </row>
    <row r="8" spans="1:12" x14ac:dyDescent="0.25">
      <c r="A8">
        <v>478</v>
      </c>
      <c r="B8">
        <v>10</v>
      </c>
      <c r="C8">
        <v>622</v>
      </c>
      <c r="D8" t="s">
        <v>550</v>
      </c>
    </row>
    <row r="9" spans="1:12" x14ac:dyDescent="0.25">
      <c r="A9">
        <v>322</v>
      </c>
      <c r="B9">
        <v>5</v>
      </c>
      <c r="C9">
        <v>587</v>
      </c>
      <c r="D9" t="s">
        <v>550</v>
      </c>
    </row>
    <row r="10" spans="1:12" x14ac:dyDescent="0.25">
      <c r="A10">
        <v>3</v>
      </c>
      <c r="B10">
        <v>1</v>
      </c>
      <c r="C10">
        <v>585</v>
      </c>
      <c r="D10" t="s">
        <v>550</v>
      </c>
    </row>
    <row r="11" spans="1:12" x14ac:dyDescent="0.25">
      <c r="A11">
        <v>323</v>
      </c>
      <c r="B11">
        <v>5</v>
      </c>
      <c r="C11">
        <v>568</v>
      </c>
      <c r="D11" t="s">
        <v>550</v>
      </c>
    </row>
    <row r="12" spans="1:12" x14ac:dyDescent="0.25">
      <c r="A12">
        <v>324</v>
      </c>
      <c r="B12">
        <v>5</v>
      </c>
      <c r="C12">
        <v>568</v>
      </c>
      <c r="D12" t="s">
        <v>550</v>
      </c>
    </row>
    <row r="13" spans="1:12" x14ac:dyDescent="0.25">
      <c r="A13">
        <v>328</v>
      </c>
      <c r="B13">
        <v>5</v>
      </c>
      <c r="C13">
        <v>568</v>
      </c>
      <c r="D13" t="s">
        <v>550</v>
      </c>
    </row>
    <row r="14" spans="1:12" x14ac:dyDescent="0.25">
      <c r="A14">
        <v>329</v>
      </c>
      <c r="B14">
        <v>5</v>
      </c>
      <c r="C14">
        <v>558</v>
      </c>
      <c r="D14" t="s">
        <v>550</v>
      </c>
    </row>
    <row r="15" spans="1:12" x14ac:dyDescent="0.25">
      <c r="A15">
        <v>398</v>
      </c>
      <c r="B15">
        <v>20</v>
      </c>
      <c r="C15">
        <v>550</v>
      </c>
      <c r="D15" t="s">
        <v>550</v>
      </c>
    </row>
    <row r="16" spans="1:12" x14ac:dyDescent="0.25">
      <c r="A16">
        <v>330</v>
      </c>
      <c r="B16">
        <v>5</v>
      </c>
      <c r="C16">
        <v>548</v>
      </c>
      <c r="D16" t="s">
        <v>550</v>
      </c>
    </row>
    <row r="17" spans="1:4" x14ac:dyDescent="0.25">
      <c r="A17">
        <v>399</v>
      </c>
      <c r="B17">
        <v>20</v>
      </c>
      <c r="C17">
        <v>544</v>
      </c>
      <c r="D17" t="s">
        <v>550</v>
      </c>
    </row>
    <row r="18" spans="1:4" x14ac:dyDescent="0.25">
      <c r="A18">
        <v>321</v>
      </c>
      <c r="B18">
        <v>5</v>
      </c>
      <c r="C18">
        <v>540</v>
      </c>
      <c r="D18" t="s">
        <v>550</v>
      </c>
    </row>
    <row r="19" spans="1:4" x14ac:dyDescent="0.25">
      <c r="A19">
        <v>316</v>
      </c>
      <c r="B19">
        <v>5</v>
      </c>
      <c r="C19">
        <v>532</v>
      </c>
      <c r="D19" t="s">
        <v>550</v>
      </c>
    </row>
    <row r="20" spans="1:4" x14ac:dyDescent="0.25">
      <c r="A20">
        <v>323</v>
      </c>
      <c r="B20">
        <v>50</v>
      </c>
      <c r="C20">
        <v>513</v>
      </c>
      <c r="D20" t="s">
        <v>550</v>
      </c>
    </row>
    <row r="21" spans="1:4" x14ac:dyDescent="0.25">
      <c r="A21">
        <v>4</v>
      </c>
      <c r="B21">
        <v>1</v>
      </c>
      <c r="C21">
        <v>512</v>
      </c>
      <c r="D21" t="s">
        <v>550</v>
      </c>
    </row>
    <row r="22" spans="1:4" x14ac:dyDescent="0.25">
      <c r="A22">
        <v>328</v>
      </c>
      <c r="B22">
        <v>50</v>
      </c>
      <c r="C22">
        <v>476</v>
      </c>
      <c r="D22" t="s">
        <v>550</v>
      </c>
    </row>
    <row r="23" spans="1:4" x14ac:dyDescent="0.25">
      <c r="A23">
        <v>324</v>
      </c>
      <c r="B23">
        <v>50</v>
      </c>
      <c r="C23">
        <v>476</v>
      </c>
      <c r="D23" t="s">
        <v>550</v>
      </c>
    </row>
    <row r="24" spans="1:4" x14ac:dyDescent="0.25">
      <c r="A24">
        <v>326</v>
      </c>
      <c r="B24">
        <v>60</v>
      </c>
      <c r="C24">
        <v>475</v>
      </c>
      <c r="D24" t="s">
        <v>550</v>
      </c>
    </row>
    <row r="25" spans="1:4" x14ac:dyDescent="0.25">
      <c r="A25">
        <v>322</v>
      </c>
      <c r="B25">
        <v>50</v>
      </c>
      <c r="C25">
        <v>475</v>
      </c>
      <c r="D25" t="s">
        <v>550</v>
      </c>
    </row>
    <row r="26" spans="1:4" x14ac:dyDescent="0.25">
      <c r="A26">
        <v>329</v>
      </c>
      <c r="B26">
        <v>50</v>
      </c>
      <c r="C26">
        <v>467</v>
      </c>
      <c r="D26" t="s">
        <v>550</v>
      </c>
    </row>
    <row r="27" spans="1:4" x14ac:dyDescent="0.25">
      <c r="A27">
        <v>330</v>
      </c>
      <c r="B27">
        <v>50</v>
      </c>
      <c r="C27">
        <v>457</v>
      </c>
      <c r="D27" t="s">
        <v>550</v>
      </c>
    </row>
    <row r="28" spans="1:4" x14ac:dyDescent="0.25">
      <c r="A28">
        <v>828</v>
      </c>
      <c r="B28">
        <v>6</v>
      </c>
      <c r="C28">
        <v>432</v>
      </c>
      <c r="D28" t="s">
        <v>550</v>
      </c>
    </row>
    <row r="29" spans="1:4" x14ac:dyDescent="0.25">
      <c r="A29">
        <v>2</v>
      </c>
      <c r="B29">
        <v>1</v>
      </c>
      <c r="C29">
        <v>427</v>
      </c>
      <c r="D29" t="s">
        <v>550</v>
      </c>
    </row>
    <row r="30" spans="1:4" x14ac:dyDescent="0.25">
      <c r="A30">
        <v>823</v>
      </c>
      <c r="B30">
        <v>6</v>
      </c>
      <c r="C30">
        <v>425</v>
      </c>
      <c r="D30" t="s">
        <v>550</v>
      </c>
    </row>
    <row r="31" spans="1:4" x14ac:dyDescent="0.25">
      <c r="A31">
        <v>948</v>
      </c>
      <c r="B31">
        <v>50</v>
      </c>
      <c r="C31">
        <v>420</v>
      </c>
      <c r="D31" t="s">
        <v>550</v>
      </c>
    </row>
    <row r="32" spans="1:4" x14ac:dyDescent="0.25">
      <c r="A32">
        <v>827</v>
      </c>
      <c r="B32">
        <v>6</v>
      </c>
      <c r="C32">
        <v>412</v>
      </c>
      <c r="D32" t="s">
        <v>550</v>
      </c>
    </row>
    <row r="33" spans="1:4" x14ac:dyDescent="0.25">
      <c r="A33">
        <v>824</v>
      </c>
      <c r="B33">
        <v>6</v>
      </c>
      <c r="C33">
        <v>411</v>
      </c>
      <c r="D33" t="s">
        <v>550</v>
      </c>
    </row>
    <row r="34" spans="1:4" x14ac:dyDescent="0.25">
      <c r="A34">
        <v>1</v>
      </c>
      <c r="B34">
        <v>1</v>
      </c>
      <c r="C34">
        <v>408</v>
      </c>
      <c r="D34" t="s">
        <v>550</v>
      </c>
    </row>
    <row r="35" spans="1:4" x14ac:dyDescent="0.25">
      <c r="A35">
        <v>476</v>
      </c>
      <c r="B35">
        <v>10</v>
      </c>
      <c r="C35">
        <v>404</v>
      </c>
      <c r="D35" t="s">
        <v>550</v>
      </c>
    </row>
    <row r="36" spans="1:4" x14ac:dyDescent="0.25">
      <c r="A36">
        <v>825</v>
      </c>
      <c r="B36">
        <v>6</v>
      </c>
      <c r="C36">
        <v>396</v>
      </c>
      <c r="D36" t="s">
        <v>550</v>
      </c>
    </row>
    <row r="37" spans="1:4" x14ac:dyDescent="0.25">
      <c r="A37">
        <v>826</v>
      </c>
      <c r="B37">
        <v>6</v>
      </c>
      <c r="C37">
        <v>393</v>
      </c>
      <c r="D37" t="s">
        <v>550</v>
      </c>
    </row>
    <row r="38" spans="1:4" x14ac:dyDescent="0.25">
      <c r="A38">
        <v>331</v>
      </c>
      <c r="B38">
        <v>50</v>
      </c>
      <c r="C38">
        <v>390</v>
      </c>
      <c r="D38" t="s">
        <v>550</v>
      </c>
    </row>
    <row r="39" spans="1:4" x14ac:dyDescent="0.25">
      <c r="A39">
        <v>4</v>
      </c>
      <c r="B39">
        <v>50</v>
      </c>
      <c r="C39">
        <v>388</v>
      </c>
      <c r="D39" t="s">
        <v>550</v>
      </c>
    </row>
    <row r="40" spans="1:4" x14ac:dyDescent="0.25">
      <c r="A40">
        <v>320</v>
      </c>
      <c r="B40">
        <v>5</v>
      </c>
      <c r="C40">
        <v>372</v>
      </c>
      <c r="D40" t="s">
        <v>550</v>
      </c>
    </row>
    <row r="41" spans="1:4" x14ac:dyDescent="0.25">
      <c r="A41">
        <v>2</v>
      </c>
      <c r="B41">
        <v>50</v>
      </c>
      <c r="C41">
        <v>364</v>
      </c>
      <c r="D41" t="s">
        <v>550</v>
      </c>
    </row>
    <row r="42" spans="1:4" x14ac:dyDescent="0.25">
      <c r="A42">
        <v>1</v>
      </c>
      <c r="B42">
        <v>50</v>
      </c>
      <c r="C42">
        <v>353</v>
      </c>
      <c r="D42" t="s">
        <v>550</v>
      </c>
    </row>
    <row r="43" spans="1:4" x14ac:dyDescent="0.25">
      <c r="A43">
        <v>477</v>
      </c>
      <c r="B43">
        <v>10</v>
      </c>
      <c r="C43">
        <v>353</v>
      </c>
      <c r="D43" t="s">
        <v>550</v>
      </c>
    </row>
    <row r="44" spans="1:4" x14ac:dyDescent="0.25">
      <c r="A44">
        <v>951</v>
      </c>
      <c r="B44">
        <v>5</v>
      </c>
      <c r="C44">
        <v>348</v>
      </c>
      <c r="D44" t="s">
        <v>550</v>
      </c>
    </row>
    <row r="45" spans="1:4" x14ac:dyDescent="0.25">
      <c r="A45">
        <v>950</v>
      </c>
      <c r="B45">
        <v>5</v>
      </c>
      <c r="C45">
        <v>342</v>
      </c>
      <c r="D45" t="s">
        <v>550</v>
      </c>
    </row>
    <row r="46" spans="1:4" x14ac:dyDescent="0.25">
      <c r="A46">
        <v>949</v>
      </c>
      <c r="B46">
        <v>5</v>
      </c>
      <c r="C46">
        <v>336</v>
      </c>
      <c r="D46" t="s">
        <v>550</v>
      </c>
    </row>
    <row r="47" spans="1:4" x14ac:dyDescent="0.25">
      <c r="A47">
        <v>3</v>
      </c>
      <c r="B47">
        <v>50</v>
      </c>
      <c r="C47">
        <v>324</v>
      </c>
      <c r="D47" t="s">
        <v>550</v>
      </c>
    </row>
    <row r="48" spans="1:4" x14ac:dyDescent="0.25">
      <c r="A48">
        <v>996</v>
      </c>
      <c r="B48">
        <v>1</v>
      </c>
      <c r="C48">
        <v>321</v>
      </c>
      <c r="D48" t="s">
        <v>550</v>
      </c>
    </row>
    <row r="49" spans="1:4" x14ac:dyDescent="0.25">
      <c r="A49">
        <v>350</v>
      </c>
      <c r="B49">
        <v>50</v>
      </c>
      <c r="C49">
        <v>313</v>
      </c>
      <c r="D49" t="s">
        <v>550</v>
      </c>
    </row>
    <row r="50" spans="1:4" x14ac:dyDescent="0.25">
      <c r="A50">
        <v>319</v>
      </c>
      <c r="B50">
        <v>50</v>
      </c>
      <c r="C50">
        <v>305</v>
      </c>
      <c r="D50" t="s">
        <v>550</v>
      </c>
    </row>
    <row r="51" spans="1:4" x14ac:dyDescent="0.25">
      <c r="A51">
        <v>401</v>
      </c>
      <c r="B51">
        <v>20</v>
      </c>
      <c r="C51">
        <v>302</v>
      </c>
      <c r="D51" t="s">
        <v>550</v>
      </c>
    </row>
    <row r="52" spans="1:4" x14ac:dyDescent="0.25">
      <c r="A52">
        <v>951</v>
      </c>
      <c r="B52">
        <v>50</v>
      </c>
      <c r="C52">
        <v>297</v>
      </c>
      <c r="D52" t="s">
        <v>550</v>
      </c>
    </row>
    <row r="53" spans="1:4" x14ac:dyDescent="0.25">
      <c r="A53">
        <v>950</v>
      </c>
      <c r="B53">
        <v>50</v>
      </c>
      <c r="C53">
        <v>291</v>
      </c>
      <c r="D53" t="s">
        <v>550</v>
      </c>
    </row>
    <row r="54" spans="1:4" x14ac:dyDescent="0.25">
      <c r="A54">
        <v>804</v>
      </c>
      <c r="B54">
        <v>50</v>
      </c>
      <c r="C54">
        <v>286</v>
      </c>
      <c r="D54" t="s">
        <v>550</v>
      </c>
    </row>
    <row r="55" spans="1:4" x14ac:dyDescent="0.25">
      <c r="A55">
        <v>949</v>
      </c>
      <c r="B55">
        <v>50</v>
      </c>
      <c r="C55">
        <v>284</v>
      </c>
      <c r="D55" t="s">
        <v>550</v>
      </c>
    </row>
    <row r="56" spans="1:4" x14ac:dyDescent="0.25">
      <c r="A56">
        <v>400</v>
      </c>
      <c r="B56">
        <v>20</v>
      </c>
      <c r="C56">
        <v>284</v>
      </c>
      <c r="D56" t="s">
        <v>550</v>
      </c>
    </row>
    <row r="57" spans="1:4" x14ac:dyDescent="0.25">
      <c r="A57">
        <v>320</v>
      </c>
      <c r="B57">
        <v>50</v>
      </c>
      <c r="C57">
        <v>283</v>
      </c>
      <c r="D57" t="s">
        <v>550</v>
      </c>
    </row>
    <row r="58" spans="1:4" x14ac:dyDescent="0.25">
      <c r="A58">
        <v>803</v>
      </c>
      <c r="B58">
        <v>50</v>
      </c>
      <c r="C58">
        <v>280</v>
      </c>
      <c r="D58" t="s">
        <v>550</v>
      </c>
    </row>
    <row r="59" spans="1:4" x14ac:dyDescent="0.25">
      <c r="A59">
        <v>802</v>
      </c>
      <c r="B59">
        <v>50</v>
      </c>
      <c r="C59">
        <v>273</v>
      </c>
      <c r="D59" t="s">
        <v>550</v>
      </c>
    </row>
    <row r="60" spans="1:4" x14ac:dyDescent="0.25">
      <c r="A60">
        <v>945</v>
      </c>
      <c r="B60">
        <v>50</v>
      </c>
      <c r="C60">
        <v>270</v>
      </c>
      <c r="D60" t="s">
        <v>550</v>
      </c>
    </row>
    <row r="61" spans="1:4" x14ac:dyDescent="0.25">
      <c r="A61">
        <v>332</v>
      </c>
      <c r="B61">
        <v>50</v>
      </c>
      <c r="C61">
        <v>267</v>
      </c>
      <c r="D61" t="s">
        <v>550</v>
      </c>
    </row>
    <row r="62" spans="1:4" x14ac:dyDescent="0.25">
      <c r="A62">
        <v>995</v>
      </c>
      <c r="B62">
        <v>50</v>
      </c>
      <c r="C62">
        <v>265</v>
      </c>
      <c r="D62" t="s">
        <v>550</v>
      </c>
    </row>
    <row r="63" spans="1:4" x14ac:dyDescent="0.25">
      <c r="A63">
        <v>829</v>
      </c>
      <c r="B63">
        <v>6</v>
      </c>
      <c r="C63">
        <v>265</v>
      </c>
      <c r="D63" t="s">
        <v>550</v>
      </c>
    </row>
    <row r="64" spans="1:4" x14ac:dyDescent="0.25">
      <c r="A64">
        <v>994</v>
      </c>
      <c r="B64">
        <v>1</v>
      </c>
      <c r="C64">
        <v>244</v>
      </c>
      <c r="D64" t="s">
        <v>550</v>
      </c>
    </row>
    <row r="65" spans="1:4" x14ac:dyDescent="0.25">
      <c r="A65">
        <v>995</v>
      </c>
      <c r="B65">
        <v>1</v>
      </c>
      <c r="C65">
        <v>230</v>
      </c>
      <c r="D65" t="s">
        <v>550</v>
      </c>
    </row>
    <row r="66" spans="1:4" x14ac:dyDescent="0.25">
      <c r="A66">
        <v>994</v>
      </c>
      <c r="B66">
        <v>50</v>
      </c>
      <c r="C66">
        <v>212</v>
      </c>
      <c r="D66" t="s">
        <v>550</v>
      </c>
    </row>
    <row r="67" spans="1:4" x14ac:dyDescent="0.25">
      <c r="A67">
        <v>352</v>
      </c>
      <c r="B67">
        <v>50</v>
      </c>
      <c r="C67">
        <v>195</v>
      </c>
      <c r="D67" t="s">
        <v>550</v>
      </c>
    </row>
    <row r="68" spans="1:4" x14ac:dyDescent="0.25">
      <c r="A68">
        <v>952</v>
      </c>
      <c r="B68">
        <v>5</v>
      </c>
      <c r="C68">
        <v>192</v>
      </c>
      <c r="D68" t="s">
        <v>550</v>
      </c>
    </row>
    <row r="69" spans="1:4" x14ac:dyDescent="0.25">
      <c r="A69">
        <v>319</v>
      </c>
      <c r="B69">
        <v>5</v>
      </c>
      <c r="C69">
        <v>184</v>
      </c>
      <c r="D69" t="s">
        <v>550</v>
      </c>
    </row>
    <row r="70" spans="1:4" x14ac:dyDescent="0.25">
      <c r="A70">
        <v>996</v>
      </c>
      <c r="B70">
        <v>50</v>
      </c>
      <c r="C70">
        <v>174</v>
      </c>
      <c r="D70" t="s">
        <v>550</v>
      </c>
    </row>
    <row r="71" spans="1:4" x14ac:dyDescent="0.25">
      <c r="A71">
        <v>318</v>
      </c>
      <c r="B71">
        <v>5</v>
      </c>
      <c r="C71">
        <v>171</v>
      </c>
      <c r="D71" t="s">
        <v>550</v>
      </c>
    </row>
    <row r="72" spans="1:4" x14ac:dyDescent="0.25">
      <c r="A72">
        <v>952</v>
      </c>
      <c r="B72">
        <v>50</v>
      </c>
      <c r="C72">
        <v>161</v>
      </c>
      <c r="D72" t="s">
        <v>550</v>
      </c>
    </row>
    <row r="73" spans="1:4" x14ac:dyDescent="0.25">
      <c r="A73">
        <v>317</v>
      </c>
      <c r="B73">
        <v>5</v>
      </c>
      <c r="C73">
        <v>158</v>
      </c>
      <c r="D73" t="s">
        <v>550</v>
      </c>
    </row>
    <row r="74" spans="1:4" x14ac:dyDescent="0.25">
      <c r="A74">
        <v>317</v>
      </c>
      <c r="B74">
        <v>50</v>
      </c>
      <c r="C74">
        <v>152</v>
      </c>
      <c r="D74" t="s">
        <v>550</v>
      </c>
    </row>
    <row r="75" spans="1:4" x14ac:dyDescent="0.25">
      <c r="A75">
        <v>351</v>
      </c>
      <c r="B75">
        <v>50</v>
      </c>
      <c r="C75">
        <v>145</v>
      </c>
      <c r="D75" t="s">
        <v>550</v>
      </c>
    </row>
    <row r="76" spans="1:4" x14ac:dyDescent="0.25">
      <c r="A76">
        <v>318</v>
      </c>
      <c r="B76">
        <v>50</v>
      </c>
      <c r="C76">
        <v>132</v>
      </c>
      <c r="D76" t="s">
        <v>550</v>
      </c>
    </row>
    <row r="77" spans="1:4" x14ac:dyDescent="0.25">
      <c r="A77">
        <v>494</v>
      </c>
      <c r="B77">
        <v>3</v>
      </c>
      <c r="C77">
        <v>49</v>
      </c>
      <c r="D77" t="s">
        <v>550</v>
      </c>
    </row>
    <row r="78" spans="1:4" x14ac:dyDescent="0.25">
      <c r="A78">
        <v>495</v>
      </c>
      <c r="B78">
        <v>3</v>
      </c>
      <c r="C78">
        <v>49</v>
      </c>
      <c r="D78" t="s">
        <v>550</v>
      </c>
    </row>
    <row r="79" spans="1:4" x14ac:dyDescent="0.25">
      <c r="A79">
        <v>493</v>
      </c>
      <c r="B79">
        <v>3</v>
      </c>
      <c r="C79">
        <v>41</v>
      </c>
      <c r="D79" t="s">
        <v>550</v>
      </c>
    </row>
    <row r="80" spans="1:4" x14ac:dyDescent="0.25">
      <c r="A80">
        <v>495</v>
      </c>
      <c r="B80">
        <v>4</v>
      </c>
      <c r="C80">
        <v>35</v>
      </c>
      <c r="D80" t="s">
        <v>550</v>
      </c>
    </row>
    <row r="81" spans="1:4" x14ac:dyDescent="0.25">
      <c r="A81">
        <v>496</v>
      </c>
      <c r="B81">
        <v>3</v>
      </c>
      <c r="C81">
        <v>30</v>
      </c>
      <c r="D81" t="s">
        <v>550</v>
      </c>
    </row>
    <row r="82" spans="1:4" x14ac:dyDescent="0.25">
      <c r="A82">
        <v>496</v>
      </c>
      <c r="B82">
        <v>4</v>
      </c>
      <c r="C82">
        <v>25</v>
      </c>
      <c r="D82" t="s">
        <v>550</v>
      </c>
    </row>
    <row r="83" spans="1:4" x14ac:dyDescent="0.25">
      <c r="A83">
        <v>493</v>
      </c>
      <c r="B83">
        <v>4</v>
      </c>
      <c r="C83">
        <v>24</v>
      </c>
      <c r="D83" t="s">
        <v>550</v>
      </c>
    </row>
    <row r="84" spans="1:4" x14ac:dyDescent="0.25">
      <c r="A84">
        <v>492</v>
      </c>
      <c r="B84">
        <v>3</v>
      </c>
      <c r="C84">
        <v>17</v>
      </c>
      <c r="D84" t="s">
        <v>550</v>
      </c>
    </row>
    <row r="85" spans="1:4" x14ac:dyDescent="0.25">
      <c r="A85">
        <v>492</v>
      </c>
      <c r="B85">
        <v>4</v>
      </c>
      <c r="C85">
        <v>14</v>
      </c>
      <c r="D85" t="s">
        <v>550</v>
      </c>
    </row>
    <row r="86" spans="1:4" x14ac:dyDescent="0.25">
      <c r="A86">
        <v>494</v>
      </c>
      <c r="B86">
        <v>4</v>
      </c>
      <c r="C86">
        <v>12</v>
      </c>
      <c r="D86" t="s">
        <v>550</v>
      </c>
    </row>
    <row r="87" spans="1:4" x14ac:dyDescent="0.25">
      <c r="A87">
        <v>527</v>
      </c>
      <c r="B87">
        <v>6</v>
      </c>
      <c r="C87">
        <v>888</v>
      </c>
      <c r="D87" t="s">
        <v>551</v>
      </c>
    </row>
    <row r="88" spans="1:4" x14ac:dyDescent="0.25">
      <c r="A88">
        <v>525</v>
      </c>
      <c r="B88">
        <v>6</v>
      </c>
      <c r="C88">
        <v>644</v>
      </c>
      <c r="D88" t="s">
        <v>551</v>
      </c>
    </row>
    <row r="89" spans="1:4" x14ac:dyDescent="0.25">
      <c r="A89">
        <v>526</v>
      </c>
      <c r="B89">
        <v>6</v>
      </c>
      <c r="C89">
        <v>587</v>
      </c>
      <c r="D89" t="s">
        <v>551</v>
      </c>
    </row>
    <row r="90" spans="1:4" x14ac:dyDescent="0.25">
      <c r="A90">
        <v>327</v>
      </c>
      <c r="B90">
        <v>50</v>
      </c>
      <c r="C90">
        <v>513</v>
      </c>
      <c r="D90" t="s">
        <v>551</v>
      </c>
    </row>
    <row r="91" spans="1:4" x14ac:dyDescent="0.25">
      <c r="A91">
        <v>478</v>
      </c>
      <c r="B91">
        <v>2</v>
      </c>
      <c r="C91">
        <v>497</v>
      </c>
      <c r="D91" t="s">
        <v>551</v>
      </c>
    </row>
    <row r="92" spans="1:4" x14ac:dyDescent="0.25">
      <c r="A92">
        <v>996</v>
      </c>
      <c r="B92">
        <v>6</v>
      </c>
      <c r="C92">
        <v>475</v>
      </c>
      <c r="D92" t="s">
        <v>551</v>
      </c>
    </row>
    <row r="93" spans="1:4" x14ac:dyDescent="0.25">
      <c r="A93">
        <v>818</v>
      </c>
      <c r="B93">
        <v>50</v>
      </c>
      <c r="C93">
        <v>460</v>
      </c>
      <c r="D93" t="s">
        <v>551</v>
      </c>
    </row>
    <row r="94" spans="1:4" x14ac:dyDescent="0.25">
      <c r="A94">
        <v>815</v>
      </c>
      <c r="B94">
        <v>50</v>
      </c>
      <c r="C94">
        <v>457</v>
      </c>
      <c r="D94" t="s">
        <v>551</v>
      </c>
    </row>
    <row r="95" spans="1:4" x14ac:dyDescent="0.25">
      <c r="A95">
        <v>3</v>
      </c>
      <c r="B95">
        <v>6</v>
      </c>
      <c r="C95">
        <v>443</v>
      </c>
      <c r="D95" t="s">
        <v>551</v>
      </c>
    </row>
    <row r="96" spans="1:4" x14ac:dyDescent="0.25">
      <c r="A96">
        <v>316</v>
      </c>
      <c r="B96">
        <v>50</v>
      </c>
      <c r="C96">
        <v>441</v>
      </c>
      <c r="D96" t="s">
        <v>551</v>
      </c>
    </row>
    <row r="97" spans="1:4" x14ac:dyDescent="0.25">
      <c r="A97">
        <v>4</v>
      </c>
      <c r="B97">
        <v>6</v>
      </c>
      <c r="C97">
        <v>422</v>
      </c>
      <c r="D97" t="s">
        <v>551</v>
      </c>
    </row>
    <row r="98" spans="1:4" x14ac:dyDescent="0.25">
      <c r="A98">
        <v>816</v>
      </c>
      <c r="B98">
        <v>50</v>
      </c>
      <c r="C98">
        <v>412</v>
      </c>
      <c r="D98" t="s">
        <v>551</v>
      </c>
    </row>
    <row r="99" spans="1:4" x14ac:dyDescent="0.25">
      <c r="A99">
        <v>398</v>
      </c>
      <c r="B99">
        <v>10</v>
      </c>
      <c r="C99">
        <v>404</v>
      </c>
      <c r="D99" t="s">
        <v>551</v>
      </c>
    </row>
    <row r="100" spans="1:4" x14ac:dyDescent="0.25">
      <c r="A100">
        <v>477</v>
      </c>
      <c r="B100">
        <v>2</v>
      </c>
      <c r="C100">
        <v>403</v>
      </c>
      <c r="D100" t="s">
        <v>551</v>
      </c>
    </row>
    <row r="101" spans="1:4" x14ac:dyDescent="0.25">
      <c r="A101">
        <v>399</v>
      </c>
      <c r="B101">
        <v>10</v>
      </c>
      <c r="C101">
        <v>398</v>
      </c>
      <c r="D101" t="s">
        <v>551</v>
      </c>
    </row>
    <row r="102" spans="1:4" x14ac:dyDescent="0.25">
      <c r="A102">
        <v>316</v>
      </c>
      <c r="B102">
        <v>10</v>
      </c>
      <c r="C102">
        <v>388</v>
      </c>
      <c r="D102" t="s">
        <v>551</v>
      </c>
    </row>
    <row r="103" spans="1:4" x14ac:dyDescent="0.25">
      <c r="A103">
        <v>817</v>
      </c>
      <c r="B103">
        <v>50</v>
      </c>
      <c r="C103">
        <v>388</v>
      </c>
      <c r="D103" t="s">
        <v>551</v>
      </c>
    </row>
    <row r="104" spans="1:4" x14ac:dyDescent="0.25">
      <c r="A104">
        <v>819</v>
      </c>
      <c r="B104">
        <v>50</v>
      </c>
      <c r="C104">
        <v>384</v>
      </c>
      <c r="D104" t="s">
        <v>551</v>
      </c>
    </row>
    <row r="105" spans="1:4" x14ac:dyDescent="0.25">
      <c r="A105">
        <v>398</v>
      </c>
      <c r="B105">
        <v>5</v>
      </c>
      <c r="C105">
        <v>372</v>
      </c>
      <c r="D105" t="s">
        <v>551</v>
      </c>
    </row>
    <row r="106" spans="1:4" x14ac:dyDescent="0.25">
      <c r="A106">
        <v>399</v>
      </c>
      <c r="B106">
        <v>5</v>
      </c>
      <c r="C106">
        <v>366</v>
      </c>
      <c r="D106" t="s">
        <v>551</v>
      </c>
    </row>
    <row r="107" spans="1:4" x14ac:dyDescent="0.25">
      <c r="A107">
        <v>994</v>
      </c>
      <c r="B107">
        <v>6</v>
      </c>
      <c r="C107">
        <v>358</v>
      </c>
      <c r="D107" t="s">
        <v>551</v>
      </c>
    </row>
    <row r="108" spans="1:4" x14ac:dyDescent="0.25">
      <c r="A108">
        <v>476</v>
      </c>
      <c r="B108">
        <v>20</v>
      </c>
      <c r="C108">
        <v>355</v>
      </c>
      <c r="D108" t="s">
        <v>551</v>
      </c>
    </row>
    <row r="109" spans="1:4" x14ac:dyDescent="0.25">
      <c r="A109">
        <v>1</v>
      </c>
      <c r="B109">
        <v>6</v>
      </c>
      <c r="C109">
        <v>324</v>
      </c>
      <c r="D109" t="s">
        <v>551</v>
      </c>
    </row>
    <row r="110" spans="1:4" x14ac:dyDescent="0.25">
      <c r="A110">
        <v>995</v>
      </c>
      <c r="B110">
        <v>6</v>
      </c>
      <c r="C110">
        <v>321</v>
      </c>
      <c r="D110" t="s">
        <v>551</v>
      </c>
    </row>
    <row r="111" spans="1:4" x14ac:dyDescent="0.25">
      <c r="A111">
        <v>2</v>
      </c>
      <c r="B111">
        <v>6</v>
      </c>
      <c r="C111">
        <v>318</v>
      </c>
      <c r="D111" t="s">
        <v>551</v>
      </c>
    </row>
    <row r="112" spans="1:4" x14ac:dyDescent="0.25">
      <c r="A112">
        <v>821</v>
      </c>
      <c r="B112">
        <v>50</v>
      </c>
      <c r="C112">
        <v>304</v>
      </c>
      <c r="D112" t="s">
        <v>551</v>
      </c>
    </row>
    <row r="113" spans="1:4" x14ac:dyDescent="0.25">
      <c r="A113">
        <v>401</v>
      </c>
      <c r="B113">
        <v>5</v>
      </c>
      <c r="C113">
        <v>283</v>
      </c>
      <c r="D113" t="s">
        <v>551</v>
      </c>
    </row>
    <row r="114" spans="1:4" x14ac:dyDescent="0.25">
      <c r="A114">
        <v>400</v>
      </c>
      <c r="B114">
        <v>5</v>
      </c>
      <c r="C114">
        <v>260</v>
      </c>
      <c r="D114" t="s">
        <v>551</v>
      </c>
    </row>
    <row r="115" spans="1:4" x14ac:dyDescent="0.25">
      <c r="A115">
        <v>400</v>
      </c>
      <c r="B115">
        <v>10</v>
      </c>
      <c r="C115">
        <v>246</v>
      </c>
      <c r="D115" t="s">
        <v>551</v>
      </c>
    </row>
    <row r="116" spans="1:4" x14ac:dyDescent="0.25">
      <c r="A116">
        <v>820</v>
      </c>
      <c r="B116">
        <v>50</v>
      </c>
      <c r="C116">
        <v>232</v>
      </c>
      <c r="D116" t="s">
        <v>551</v>
      </c>
    </row>
    <row r="117" spans="1:4" x14ac:dyDescent="0.25">
      <c r="A117">
        <v>401</v>
      </c>
      <c r="B117">
        <v>10</v>
      </c>
      <c r="C117">
        <v>212</v>
      </c>
      <c r="D117" t="s">
        <v>551</v>
      </c>
    </row>
    <row r="118" spans="1:4" x14ac:dyDescent="0.25">
      <c r="A118">
        <v>496</v>
      </c>
      <c r="B118">
        <v>40</v>
      </c>
      <c r="C118">
        <v>44</v>
      </c>
      <c r="D118" t="s">
        <v>551</v>
      </c>
    </row>
    <row r="119" spans="1:4" x14ac:dyDescent="0.25">
      <c r="A119">
        <v>493</v>
      </c>
      <c r="B119">
        <v>40</v>
      </c>
      <c r="C119">
        <v>28</v>
      </c>
      <c r="D119" t="s">
        <v>551</v>
      </c>
    </row>
    <row r="120" spans="1:4" x14ac:dyDescent="0.25">
      <c r="A120">
        <v>495</v>
      </c>
      <c r="B120">
        <v>40</v>
      </c>
      <c r="C120">
        <v>25</v>
      </c>
      <c r="D120" t="s">
        <v>551</v>
      </c>
    </row>
    <row r="121" spans="1:4" x14ac:dyDescent="0.25">
      <c r="A121">
        <v>492</v>
      </c>
      <c r="B121">
        <v>40</v>
      </c>
      <c r="C121">
        <v>16</v>
      </c>
      <c r="D121" t="s">
        <v>551</v>
      </c>
    </row>
    <row r="122" spans="1:4" x14ac:dyDescent="0.25">
      <c r="A122">
        <v>494</v>
      </c>
      <c r="B122">
        <v>40</v>
      </c>
      <c r="C122">
        <v>4</v>
      </c>
      <c r="D122" t="s">
        <v>551</v>
      </c>
    </row>
    <row r="123" spans="1:4" x14ac:dyDescent="0.25">
      <c r="A123">
        <v>480</v>
      </c>
      <c r="B123">
        <v>2</v>
      </c>
      <c r="C123">
        <v>689</v>
      </c>
      <c r="D123" t="s">
        <v>552</v>
      </c>
    </row>
    <row r="124" spans="1:4" x14ac:dyDescent="0.25">
      <c r="A124">
        <v>367</v>
      </c>
      <c r="B124">
        <v>1</v>
      </c>
      <c r="C124">
        <v>643</v>
      </c>
      <c r="D124" t="s">
        <v>552</v>
      </c>
    </row>
    <row r="125" spans="1:4" x14ac:dyDescent="0.25">
      <c r="A125">
        <v>322</v>
      </c>
      <c r="B125">
        <v>1</v>
      </c>
      <c r="C125">
        <v>622</v>
      </c>
      <c r="D125" t="s">
        <v>552</v>
      </c>
    </row>
    <row r="126" spans="1:4" x14ac:dyDescent="0.25">
      <c r="A126">
        <v>385</v>
      </c>
      <c r="B126">
        <v>1</v>
      </c>
      <c r="C126">
        <v>619</v>
      </c>
      <c r="D126" t="s">
        <v>552</v>
      </c>
    </row>
    <row r="127" spans="1:4" x14ac:dyDescent="0.25">
      <c r="A127">
        <v>323</v>
      </c>
      <c r="B127">
        <v>1</v>
      </c>
      <c r="C127">
        <v>603</v>
      </c>
      <c r="D127" t="s">
        <v>552</v>
      </c>
    </row>
    <row r="128" spans="1:4" x14ac:dyDescent="0.25">
      <c r="A128">
        <v>383</v>
      </c>
      <c r="B128">
        <v>1</v>
      </c>
      <c r="C128">
        <v>587</v>
      </c>
      <c r="D128" t="s">
        <v>552</v>
      </c>
    </row>
    <row r="129" spans="1:4" x14ac:dyDescent="0.25">
      <c r="A129">
        <v>371</v>
      </c>
      <c r="B129">
        <v>1</v>
      </c>
      <c r="C129">
        <v>585</v>
      </c>
      <c r="D129" t="s">
        <v>552</v>
      </c>
    </row>
    <row r="130" spans="1:4" x14ac:dyDescent="0.25">
      <c r="A130">
        <v>376</v>
      </c>
      <c r="B130">
        <v>1</v>
      </c>
      <c r="C130">
        <v>585</v>
      </c>
      <c r="D130" t="s">
        <v>552</v>
      </c>
    </row>
    <row r="131" spans="1:4" x14ac:dyDescent="0.25">
      <c r="A131">
        <v>324</v>
      </c>
      <c r="B131">
        <v>1</v>
      </c>
      <c r="C131">
        <v>585</v>
      </c>
      <c r="D131" t="s">
        <v>552</v>
      </c>
    </row>
    <row r="132" spans="1:4" x14ac:dyDescent="0.25">
      <c r="A132">
        <v>321</v>
      </c>
      <c r="B132">
        <v>1</v>
      </c>
      <c r="C132">
        <v>569</v>
      </c>
      <c r="D132" t="s">
        <v>552</v>
      </c>
    </row>
    <row r="133" spans="1:4" x14ac:dyDescent="0.25">
      <c r="A133">
        <v>361</v>
      </c>
      <c r="B133">
        <v>1</v>
      </c>
      <c r="C133">
        <v>499</v>
      </c>
      <c r="D133" t="s">
        <v>552</v>
      </c>
    </row>
    <row r="134" spans="1:4" x14ac:dyDescent="0.25">
      <c r="A134">
        <v>363</v>
      </c>
      <c r="B134">
        <v>1</v>
      </c>
      <c r="C134">
        <v>499</v>
      </c>
      <c r="D134" t="s">
        <v>552</v>
      </c>
    </row>
    <row r="135" spans="1:4" x14ac:dyDescent="0.25">
      <c r="A135">
        <v>320</v>
      </c>
      <c r="B135">
        <v>1</v>
      </c>
      <c r="C135">
        <v>481</v>
      </c>
      <c r="D135" t="s">
        <v>552</v>
      </c>
    </row>
    <row r="136" spans="1:4" x14ac:dyDescent="0.25">
      <c r="A136">
        <v>480</v>
      </c>
      <c r="B136">
        <v>10</v>
      </c>
      <c r="C136">
        <v>457</v>
      </c>
      <c r="D136" t="s">
        <v>552</v>
      </c>
    </row>
    <row r="137" spans="1:4" x14ac:dyDescent="0.25">
      <c r="A137">
        <v>479</v>
      </c>
      <c r="B137">
        <v>2</v>
      </c>
      <c r="C137">
        <v>441</v>
      </c>
      <c r="D137" t="s">
        <v>552</v>
      </c>
    </row>
    <row r="138" spans="1:4" x14ac:dyDescent="0.25">
      <c r="A138">
        <v>331</v>
      </c>
      <c r="B138">
        <v>10</v>
      </c>
      <c r="C138">
        <v>441</v>
      </c>
      <c r="D138" t="s">
        <v>552</v>
      </c>
    </row>
    <row r="139" spans="1:4" x14ac:dyDescent="0.25">
      <c r="A139">
        <v>481</v>
      </c>
      <c r="B139">
        <v>2</v>
      </c>
      <c r="C139">
        <v>427</v>
      </c>
      <c r="D139" t="s">
        <v>552</v>
      </c>
    </row>
    <row r="140" spans="1:4" x14ac:dyDescent="0.25">
      <c r="A140">
        <v>365</v>
      </c>
      <c r="B140">
        <v>1</v>
      </c>
      <c r="C140">
        <v>411</v>
      </c>
      <c r="D140" t="s">
        <v>552</v>
      </c>
    </row>
    <row r="141" spans="1:4" x14ac:dyDescent="0.25">
      <c r="A141">
        <v>350</v>
      </c>
      <c r="B141">
        <v>10</v>
      </c>
      <c r="C141">
        <v>406</v>
      </c>
      <c r="D141" t="s">
        <v>552</v>
      </c>
    </row>
    <row r="142" spans="1:4" x14ac:dyDescent="0.25">
      <c r="A142">
        <v>362</v>
      </c>
      <c r="B142">
        <v>1</v>
      </c>
      <c r="C142">
        <v>377</v>
      </c>
      <c r="D142" t="s">
        <v>552</v>
      </c>
    </row>
    <row r="143" spans="1:4" x14ac:dyDescent="0.25">
      <c r="A143">
        <v>359</v>
      </c>
      <c r="B143">
        <v>1</v>
      </c>
      <c r="C143">
        <v>369</v>
      </c>
      <c r="D143" t="s">
        <v>552</v>
      </c>
    </row>
    <row r="144" spans="1:4" x14ac:dyDescent="0.25">
      <c r="A144">
        <v>368</v>
      </c>
      <c r="B144">
        <v>1</v>
      </c>
      <c r="C144">
        <v>369</v>
      </c>
      <c r="D144" t="s">
        <v>552</v>
      </c>
    </row>
    <row r="145" spans="1:4" x14ac:dyDescent="0.25">
      <c r="A145">
        <v>364</v>
      </c>
      <c r="B145">
        <v>1</v>
      </c>
      <c r="C145">
        <v>368</v>
      </c>
      <c r="D145" t="s">
        <v>552</v>
      </c>
    </row>
    <row r="146" spans="1:4" x14ac:dyDescent="0.25">
      <c r="A146">
        <v>369</v>
      </c>
      <c r="B146">
        <v>1</v>
      </c>
      <c r="C146">
        <v>363</v>
      </c>
      <c r="D146" t="s">
        <v>552</v>
      </c>
    </row>
    <row r="147" spans="1:4" x14ac:dyDescent="0.25">
      <c r="A147">
        <v>360</v>
      </c>
      <c r="B147">
        <v>1</v>
      </c>
      <c r="C147">
        <v>363</v>
      </c>
      <c r="D147" t="s">
        <v>552</v>
      </c>
    </row>
    <row r="148" spans="1:4" x14ac:dyDescent="0.25">
      <c r="A148">
        <v>379</v>
      </c>
      <c r="B148">
        <v>1</v>
      </c>
      <c r="C148">
        <v>323</v>
      </c>
      <c r="D148" t="s">
        <v>552</v>
      </c>
    </row>
    <row r="149" spans="1:4" x14ac:dyDescent="0.25">
      <c r="A149">
        <v>366</v>
      </c>
      <c r="B149">
        <v>1</v>
      </c>
      <c r="C149">
        <v>318</v>
      </c>
      <c r="D149" t="s">
        <v>552</v>
      </c>
    </row>
    <row r="150" spans="1:4" x14ac:dyDescent="0.25">
      <c r="A150">
        <v>319</v>
      </c>
      <c r="B150">
        <v>1</v>
      </c>
      <c r="C150">
        <v>308</v>
      </c>
      <c r="D150" t="s">
        <v>552</v>
      </c>
    </row>
    <row r="151" spans="1:4" x14ac:dyDescent="0.25">
      <c r="A151">
        <v>384</v>
      </c>
      <c r="B151">
        <v>1</v>
      </c>
      <c r="C151">
        <v>299</v>
      </c>
      <c r="D151" t="s">
        <v>552</v>
      </c>
    </row>
    <row r="152" spans="1:4" x14ac:dyDescent="0.25">
      <c r="A152">
        <v>375</v>
      </c>
      <c r="B152">
        <v>1</v>
      </c>
      <c r="C152">
        <v>291</v>
      </c>
      <c r="D152" t="s">
        <v>552</v>
      </c>
    </row>
    <row r="153" spans="1:4" x14ac:dyDescent="0.25">
      <c r="A153">
        <v>355</v>
      </c>
      <c r="B153">
        <v>50</v>
      </c>
      <c r="C153">
        <v>289</v>
      </c>
      <c r="D153" t="s">
        <v>552</v>
      </c>
    </row>
    <row r="154" spans="1:4" x14ac:dyDescent="0.25">
      <c r="A154">
        <v>374</v>
      </c>
      <c r="B154">
        <v>1</v>
      </c>
      <c r="C154">
        <v>288</v>
      </c>
      <c r="D154" t="s">
        <v>552</v>
      </c>
    </row>
    <row r="155" spans="1:4" x14ac:dyDescent="0.25">
      <c r="A155">
        <v>373</v>
      </c>
      <c r="B155">
        <v>1</v>
      </c>
      <c r="C155">
        <v>284</v>
      </c>
      <c r="D155" t="s">
        <v>552</v>
      </c>
    </row>
    <row r="156" spans="1:4" x14ac:dyDescent="0.25">
      <c r="A156">
        <v>317</v>
      </c>
      <c r="B156">
        <v>1</v>
      </c>
      <c r="C156">
        <v>283</v>
      </c>
      <c r="D156" t="s">
        <v>552</v>
      </c>
    </row>
    <row r="157" spans="1:4" x14ac:dyDescent="0.25">
      <c r="A157">
        <v>351</v>
      </c>
      <c r="B157">
        <v>10</v>
      </c>
      <c r="C157">
        <v>281</v>
      </c>
      <c r="D157" t="s">
        <v>552</v>
      </c>
    </row>
    <row r="158" spans="1:4" x14ac:dyDescent="0.25">
      <c r="A158">
        <v>372</v>
      </c>
      <c r="B158">
        <v>1</v>
      </c>
      <c r="C158">
        <v>281</v>
      </c>
      <c r="D158" t="s">
        <v>552</v>
      </c>
    </row>
    <row r="159" spans="1:4" x14ac:dyDescent="0.25">
      <c r="A159">
        <v>352</v>
      </c>
      <c r="B159">
        <v>10</v>
      </c>
      <c r="C159">
        <v>278</v>
      </c>
      <c r="D159" t="s">
        <v>552</v>
      </c>
    </row>
    <row r="160" spans="1:4" x14ac:dyDescent="0.25">
      <c r="A160">
        <v>356</v>
      </c>
      <c r="B160">
        <v>50</v>
      </c>
      <c r="C160">
        <v>275</v>
      </c>
      <c r="D160" t="s">
        <v>552</v>
      </c>
    </row>
    <row r="161" spans="1:4" x14ac:dyDescent="0.25">
      <c r="A161">
        <v>357</v>
      </c>
      <c r="B161">
        <v>50</v>
      </c>
      <c r="C161">
        <v>260</v>
      </c>
      <c r="D161" t="s">
        <v>552</v>
      </c>
    </row>
    <row r="162" spans="1:4" x14ac:dyDescent="0.25">
      <c r="A162">
        <v>370</v>
      </c>
      <c r="B162">
        <v>1</v>
      </c>
      <c r="C162">
        <v>252</v>
      </c>
      <c r="D162" t="s">
        <v>552</v>
      </c>
    </row>
    <row r="163" spans="1:4" x14ac:dyDescent="0.25">
      <c r="A163">
        <v>804</v>
      </c>
      <c r="B163">
        <v>10</v>
      </c>
      <c r="C163">
        <v>252</v>
      </c>
      <c r="D163" t="s">
        <v>552</v>
      </c>
    </row>
    <row r="164" spans="1:4" x14ac:dyDescent="0.25">
      <c r="A164">
        <v>377</v>
      </c>
      <c r="B164">
        <v>1</v>
      </c>
      <c r="C164">
        <v>249</v>
      </c>
      <c r="D164" t="s">
        <v>552</v>
      </c>
    </row>
    <row r="165" spans="1:4" x14ac:dyDescent="0.25">
      <c r="A165">
        <v>358</v>
      </c>
      <c r="B165">
        <v>50</v>
      </c>
      <c r="C165">
        <v>246</v>
      </c>
      <c r="D165" t="s">
        <v>552</v>
      </c>
    </row>
    <row r="166" spans="1:4" x14ac:dyDescent="0.25">
      <c r="A166">
        <v>803</v>
      </c>
      <c r="B166">
        <v>10</v>
      </c>
      <c r="C166">
        <v>246</v>
      </c>
      <c r="D166" t="s">
        <v>552</v>
      </c>
    </row>
    <row r="167" spans="1:4" x14ac:dyDescent="0.25">
      <c r="A167">
        <v>378</v>
      </c>
      <c r="B167">
        <v>1</v>
      </c>
      <c r="C167">
        <v>244</v>
      </c>
      <c r="D167" t="s">
        <v>552</v>
      </c>
    </row>
    <row r="168" spans="1:4" x14ac:dyDescent="0.25">
      <c r="A168">
        <v>802</v>
      </c>
      <c r="B168">
        <v>10</v>
      </c>
      <c r="C168">
        <v>240</v>
      </c>
      <c r="D168" t="s">
        <v>552</v>
      </c>
    </row>
    <row r="169" spans="1:4" x14ac:dyDescent="0.25">
      <c r="A169">
        <v>952</v>
      </c>
      <c r="B169">
        <v>1</v>
      </c>
      <c r="C169">
        <v>236</v>
      </c>
      <c r="D169" t="s">
        <v>552</v>
      </c>
    </row>
    <row r="170" spans="1:4" x14ac:dyDescent="0.25">
      <c r="A170">
        <v>945</v>
      </c>
      <c r="B170">
        <v>10</v>
      </c>
      <c r="C170">
        <v>236</v>
      </c>
      <c r="D170" t="s">
        <v>552</v>
      </c>
    </row>
    <row r="171" spans="1:4" x14ac:dyDescent="0.25">
      <c r="A171">
        <v>332</v>
      </c>
      <c r="B171">
        <v>10</v>
      </c>
      <c r="C171">
        <v>233</v>
      </c>
      <c r="D171" t="s">
        <v>552</v>
      </c>
    </row>
    <row r="172" spans="1:4" x14ac:dyDescent="0.25">
      <c r="A172">
        <v>479</v>
      </c>
      <c r="B172">
        <v>10</v>
      </c>
      <c r="C172">
        <v>198</v>
      </c>
      <c r="D172" t="s">
        <v>552</v>
      </c>
    </row>
    <row r="173" spans="1:4" x14ac:dyDescent="0.25">
      <c r="A173">
        <v>481</v>
      </c>
      <c r="B173">
        <v>10</v>
      </c>
      <c r="C173">
        <v>196</v>
      </c>
      <c r="D173" t="s">
        <v>552</v>
      </c>
    </row>
    <row r="174" spans="1:4" x14ac:dyDescent="0.25">
      <c r="A174">
        <v>382</v>
      </c>
      <c r="B174">
        <v>1</v>
      </c>
      <c r="C174">
        <v>169</v>
      </c>
      <c r="D174" t="s">
        <v>552</v>
      </c>
    </row>
    <row r="175" spans="1:4" x14ac:dyDescent="0.25">
      <c r="A175">
        <v>381</v>
      </c>
      <c r="B175">
        <v>1</v>
      </c>
      <c r="C175">
        <v>163</v>
      </c>
      <c r="D175" t="s">
        <v>552</v>
      </c>
    </row>
    <row r="176" spans="1:4" x14ac:dyDescent="0.25">
      <c r="A176">
        <v>380</v>
      </c>
      <c r="B176">
        <v>1</v>
      </c>
      <c r="C176">
        <v>156</v>
      </c>
      <c r="D176" t="s">
        <v>552</v>
      </c>
    </row>
    <row r="177" spans="1:4" x14ac:dyDescent="0.25">
      <c r="A177">
        <v>318</v>
      </c>
      <c r="B177">
        <v>1</v>
      </c>
      <c r="C177">
        <v>136</v>
      </c>
      <c r="D177" t="s">
        <v>552</v>
      </c>
    </row>
    <row r="178" spans="1:4" x14ac:dyDescent="0.25">
      <c r="A178">
        <v>483</v>
      </c>
      <c r="B178">
        <v>2</v>
      </c>
      <c r="C178">
        <v>691</v>
      </c>
      <c r="D178" t="s">
        <v>553</v>
      </c>
    </row>
    <row r="179" spans="1:4" x14ac:dyDescent="0.25">
      <c r="A179">
        <v>486</v>
      </c>
      <c r="B179">
        <v>2</v>
      </c>
      <c r="C179">
        <v>689</v>
      </c>
      <c r="D179" t="s">
        <v>553</v>
      </c>
    </row>
    <row r="180" spans="1:4" x14ac:dyDescent="0.25">
      <c r="A180">
        <v>389</v>
      </c>
      <c r="B180">
        <v>1</v>
      </c>
      <c r="C180">
        <v>657</v>
      </c>
      <c r="D180" t="s">
        <v>553</v>
      </c>
    </row>
    <row r="181" spans="1:4" x14ac:dyDescent="0.25">
      <c r="A181">
        <v>396</v>
      </c>
      <c r="B181">
        <v>1</v>
      </c>
      <c r="C181">
        <v>636</v>
      </c>
      <c r="D181" t="s">
        <v>553</v>
      </c>
    </row>
    <row r="182" spans="1:4" x14ac:dyDescent="0.25">
      <c r="A182">
        <v>393</v>
      </c>
      <c r="B182">
        <v>1</v>
      </c>
      <c r="C182">
        <v>603</v>
      </c>
      <c r="D182" t="s">
        <v>553</v>
      </c>
    </row>
    <row r="183" spans="1:4" x14ac:dyDescent="0.25">
      <c r="A183">
        <v>328</v>
      </c>
      <c r="B183">
        <v>10</v>
      </c>
      <c r="C183">
        <v>585</v>
      </c>
      <c r="D183" t="s">
        <v>553</v>
      </c>
    </row>
    <row r="184" spans="1:4" x14ac:dyDescent="0.25">
      <c r="A184">
        <v>329</v>
      </c>
      <c r="B184">
        <v>10</v>
      </c>
      <c r="C184">
        <v>576</v>
      </c>
      <c r="D184" t="s">
        <v>553</v>
      </c>
    </row>
    <row r="185" spans="1:4" x14ac:dyDescent="0.25">
      <c r="A185">
        <v>478</v>
      </c>
      <c r="B185">
        <v>5</v>
      </c>
      <c r="C185">
        <v>568</v>
      </c>
      <c r="D185" t="s">
        <v>553</v>
      </c>
    </row>
    <row r="186" spans="1:4" x14ac:dyDescent="0.25">
      <c r="A186">
        <v>330</v>
      </c>
      <c r="B186">
        <v>10</v>
      </c>
      <c r="C186">
        <v>566</v>
      </c>
      <c r="D186" t="s">
        <v>553</v>
      </c>
    </row>
    <row r="187" spans="1:4" x14ac:dyDescent="0.25">
      <c r="A187">
        <v>387</v>
      </c>
      <c r="B187">
        <v>1</v>
      </c>
      <c r="C187">
        <v>524</v>
      </c>
      <c r="D187" t="s">
        <v>553</v>
      </c>
    </row>
    <row r="188" spans="1:4" x14ac:dyDescent="0.25">
      <c r="A188">
        <v>484</v>
      </c>
      <c r="B188">
        <v>2</v>
      </c>
      <c r="C188">
        <v>427</v>
      </c>
      <c r="D188" t="s">
        <v>553</v>
      </c>
    </row>
    <row r="189" spans="1:4" x14ac:dyDescent="0.25">
      <c r="A189">
        <v>916</v>
      </c>
      <c r="B189">
        <v>6</v>
      </c>
      <c r="C189">
        <v>425</v>
      </c>
      <c r="D189" t="s">
        <v>553</v>
      </c>
    </row>
    <row r="190" spans="1:4" x14ac:dyDescent="0.25">
      <c r="A190">
        <v>908</v>
      </c>
      <c r="B190">
        <v>6</v>
      </c>
      <c r="C190">
        <v>400</v>
      </c>
      <c r="D190" t="s">
        <v>553</v>
      </c>
    </row>
    <row r="191" spans="1:4" x14ac:dyDescent="0.25">
      <c r="A191">
        <v>397</v>
      </c>
      <c r="B191">
        <v>1</v>
      </c>
      <c r="C191">
        <v>339</v>
      </c>
      <c r="D191" t="s">
        <v>553</v>
      </c>
    </row>
    <row r="192" spans="1:4" x14ac:dyDescent="0.25">
      <c r="A192">
        <v>487</v>
      </c>
      <c r="B192">
        <v>2</v>
      </c>
      <c r="C192">
        <v>331</v>
      </c>
      <c r="D192" t="s">
        <v>553</v>
      </c>
    </row>
    <row r="193" spans="1:4" x14ac:dyDescent="0.25">
      <c r="A193">
        <v>476</v>
      </c>
      <c r="B193">
        <v>5</v>
      </c>
      <c r="C193">
        <v>324</v>
      </c>
      <c r="D193" t="s">
        <v>553</v>
      </c>
    </row>
    <row r="194" spans="1:4" x14ac:dyDescent="0.25">
      <c r="A194">
        <v>477</v>
      </c>
      <c r="B194">
        <v>5</v>
      </c>
      <c r="C194">
        <v>323</v>
      </c>
      <c r="D194" t="s">
        <v>553</v>
      </c>
    </row>
    <row r="195" spans="1:4" x14ac:dyDescent="0.25">
      <c r="A195">
        <v>482</v>
      </c>
      <c r="B195">
        <v>2</v>
      </c>
      <c r="C195">
        <v>321</v>
      </c>
      <c r="D195" t="s">
        <v>553</v>
      </c>
    </row>
    <row r="196" spans="1:4" x14ac:dyDescent="0.25">
      <c r="A196">
        <v>485</v>
      </c>
      <c r="B196">
        <v>2</v>
      </c>
      <c r="C196">
        <v>321</v>
      </c>
      <c r="D196" t="s">
        <v>553</v>
      </c>
    </row>
    <row r="197" spans="1:4" x14ac:dyDescent="0.25">
      <c r="A197">
        <v>488</v>
      </c>
      <c r="B197">
        <v>2</v>
      </c>
      <c r="C197">
        <v>312</v>
      </c>
      <c r="D197" t="s">
        <v>553</v>
      </c>
    </row>
    <row r="198" spans="1:4" x14ac:dyDescent="0.25">
      <c r="A198">
        <v>394</v>
      </c>
      <c r="B198">
        <v>1</v>
      </c>
      <c r="C198">
        <v>302</v>
      </c>
      <c r="D198" t="s">
        <v>553</v>
      </c>
    </row>
    <row r="199" spans="1:4" x14ac:dyDescent="0.25">
      <c r="A199">
        <v>912</v>
      </c>
      <c r="B199">
        <v>6</v>
      </c>
      <c r="C199">
        <v>302</v>
      </c>
      <c r="D199" t="s">
        <v>553</v>
      </c>
    </row>
    <row r="200" spans="1:4" x14ac:dyDescent="0.25">
      <c r="A200">
        <v>392</v>
      </c>
      <c r="B200">
        <v>1</v>
      </c>
      <c r="C200">
        <v>299</v>
      </c>
      <c r="D200" t="s">
        <v>553</v>
      </c>
    </row>
    <row r="201" spans="1:4" x14ac:dyDescent="0.25">
      <c r="A201">
        <v>391</v>
      </c>
      <c r="B201">
        <v>1</v>
      </c>
      <c r="C201">
        <v>296</v>
      </c>
      <c r="D201" t="s">
        <v>553</v>
      </c>
    </row>
    <row r="202" spans="1:4" x14ac:dyDescent="0.25">
      <c r="A202">
        <v>388</v>
      </c>
      <c r="B202">
        <v>1</v>
      </c>
      <c r="C202">
        <v>292</v>
      </c>
      <c r="D202" t="s">
        <v>553</v>
      </c>
    </row>
    <row r="203" spans="1:4" x14ac:dyDescent="0.25">
      <c r="A203">
        <v>390</v>
      </c>
      <c r="B203">
        <v>1</v>
      </c>
      <c r="C203">
        <v>292</v>
      </c>
      <c r="D203" t="s">
        <v>553</v>
      </c>
    </row>
    <row r="204" spans="1:4" x14ac:dyDescent="0.25">
      <c r="A204">
        <v>807</v>
      </c>
      <c r="B204">
        <v>1</v>
      </c>
      <c r="C204">
        <v>291</v>
      </c>
      <c r="D204" t="s">
        <v>553</v>
      </c>
    </row>
    <row r="205" spans="1:4" x14ac:dyDescent="0.25">
      <c r="A205">
        <v>806</v>
      </c>
      <c r="B205">
        <v>1</v>
      </c>
      <c r="C205">
        <v>288</v>
      </c>
      <c r="D205" t="s">
        <v>553</v>
      </c>
    </row>
    <row r="206" spans="1:4" x14ac:dyDescent="0.25">
      <c r="A206">
        <v>805</v>
      </c>
      <c r="B206">
        <v>1</v>
      </c>
      <c r="C206">
        <v>284</v>
      </c>
      <c r="D206" t="s">
        <v>553</v>
      </c>
    </row>
    <row r="207" spans="1:4" x14ac:dyDescent="0.25">
      <c r="A207">
        <v>911</v>
      </c>
      <c r="B207">
        <v>6</v>
      </c>
      <c r="C207">
        <v>283</v>
      </c>
      <c r="D207" t="s">
        <v>553</v>
      </c>
    </row>
    <row r="208" spans="1:4" x14ac:dyDescent="0.25">
      <c r="A208">
        <v>395</v>
      </c>
      <c r="B208">
        <v>1</v>
      </c>
      <c r="C208">
        <v>281</v>
      </c>
      <c r="D208" t="s">
        <v>553</v>
      </c>
    </row>
    <row r="209" spans="1:4" x14ac:dyDescent="0.25">
      <c r="A209">
        <v>522</v>
      </c>
      <c r="B209">
        <v>6</v>
      </c>
      <c r="C209">
        <v>280</v>
      </c>
      <c r="D209" t="s">
        <v>553</v>
      </c>
    </row>
    <row r="210" spans="1:4" x14ac:dyDescent="0.25">
      <c r="A210">
        <v>521</v>
      </c>
      <c r="B210">
        <v>6</v>
      </c>
      <c r="C210">
        <v>278</v>
      </c>
      <c r="D210" t="s">
        <v>553</v>
      </c>
    </row>
    <row r="211" spans="1:4" x14ac:dyDescent="0.25">
      <c r="A211">
        <v>520</v>
      </c>
      <c r="B211">
        <v>6</v>
      </c>
      <c r="C211">
        <v>276</v>
      </c>
      <c r="D211" t="s">
        <v>553</v>
      </c>
    </row>
    <row r="212" spans="1:4" x14ac:dyDescent="0.25">
      <c r="A212">
        <v>355</v>
      </c>
      <c r="B212">
        <v>1</v>
      </c>
      <c r="C212">
        <v>276</v>
      </c>
      <c r="D212" t="s">
        <v>553</v>
      </c>
    </row>
    <row r="213" spans="1:4" x14ac:dyDescent="0.25">
      <c r="A213">
        <v>519</v>
      </c>
      <c r="B213">
        <v>6</v>
      </c>
      <c r="C213">
        <v>275</v>
      </c>
      <c r="D213" t="s">
        <v>553</v>
      </c>
    </row>
    <row r="214" spans="1:4" x14ac:dyDescent="0.25">
      <c r="A214">
        <v>518</v>
      </c>
      <c r="B214">
        <v>6</v>
      </c>
      <c r="C214">
        <v>273</v>
      </c>
      <c r="D214" t="s">
        <v>553</v>
      </c>
    </row>
    <row r="215" spans="1:4" x14ac:dyDescent="0.25">
      <c r="A215">
        <v>517</v>
      </c>
      <c r="B215">
        <v>6</v>
      </c>
      <c r="C215">
        <v>272</v>
      </c>
      <c r="D215" t="s">
        <v>553</v>
      </c>
    </row>
    <row r="216" spans="1:4" x14ac:dyDescent="0.25">
      <c r="A216">
        <v>516</v>
      </c>
      <c r="B216">
        <v>6</v>
      </c>
      <c r="C216">
        <v>270</v>
      </c>
      <c r="D216" t="s">
        <v>553</v>
      </c>
    </row>
    <row r="217" spans="1:4" x14ac:dyDescent="0.25">
      <c r="A217">
        <v>515</v>
      </c>
      <c r="B217">
        <v>6</v>
      </c>
      <c r="C217">
        <v>268</v>
      </c>
      <c r="D217" t="s">
        <v>553</v>
      </c>
    </row>
    <row r="218" spans="1:4" x14ac:dyDescent="0.25">
      <c r="A218">
        <v>514</v>
      </c>
      <c r="B218">
        <v>6</v>
      </c>
      <c r="C218">
        <v>267</v>
      </c>
      <c r="D218" t="s">
        <v>553</v>
      </c>
    </row>
    <row r="219" spans="1:4" x14ac:dyDescent="0.25">
      <c r="A219">
        <v>356</v>
      </c>
      <c r="B219">
        <v>1</v>
      </c>
      <c r="C219">
        <v>262</v>
      </c>
      <c r="D219" t="s">
        <v>553</v>
      </c>
    </row>
    <row r="220" spans="1:4" x14ac:dyDescent="0.25">
      <c r="A220">
        <v>357</v>
      </c>
      <c r="B220">
        <v>1</v>
      </c>
      <c r="C220">
        <v>248</v>
      </c>
      <c r="D220" t="s">
        <v>553</v>
      </c>
    </row>
    <row r="221" spans="1:4" x14ac:dyDescent="0.25">
      <c r="A221">
        <v>914</v>
      </c>
      <c r="B221">
        <v>6</v>
      </c>
      <c r="C221">
        <v>248</v>
      </c>
      <c r="D221" t="s">
        <v>553</v>
      </c>
    </row>
    <row r="222" spans="1:4" x14ac:dyDescent="0.25">
      <c r="A222">
        <v>358</v>
      </c>
      <c r="B222">
        <v>1</v>
      </c>
      <c r="C222">
        <v>233</v>
      </c>
      <c r="D222" t="s">
        <v>553</v>
      </c>
    </row>
    <row r="223" spans="1:4" x14ac:dyDescent="0.25">
      <c r="A223">
        <v>909</v>
      </c>
      <c r="B223">
        <v>6</v>
      </c>
      <c r="C223">
        <v>230</v>
      </c>
      <c r="D223" t="s">
        <v>553</v>
      </c>
    </row>
    <row r="224" spans="1:4" x14ac:dyDescent="0.25">
      <c r="A224">
        <v>913</v>
      </c>
      <c r="B224">
        <v>6</v>
      </c>
      <c r="C224">
        <v>169</v>
      </c>
      <c r="D224" t="s">
        <v>553</v>
      </c>
    </row>
    <row r="225" spans="1:4" x14ac:dyDescent="0.25">
      <c r="A225">
        <v>915</v>
      </c>
      <c r="B225">
        <v>6</v>
      </c>
      <c r="C225">
        <v>161</v>
      </c>
      <c r="D225" t="s">
        <v>553</v>
      </c>
    </row>
    <row r="226" spans="1:4" x14ac:dyDescent="0.25">
      <c r="A226">
        <v>386</v>
      </c>
      <c r="B226">
        <v>1</v>
      </c>
      <c r="C226">
        <v>148</v>
      </c>
      <c r="D226" t="s">
        <v>553</v>
      </c>
    </row>
    <row r="227" spans="1:4" x14ac:dyDescent="0.25">
      <c r="A227">
        <v>910</v>
      </c>
      <c r="B227">
        <v>6</v>
      </c>
      <c r="C227">
        <v>91</v>
      </c>
      <c r="D227" t="s">
        <v>553</v>
      </c>
    </row>
    <row r="228" spans="1:4" x14ac:dyDescent="0.25">
      <c r="A228">
        <v>397</v>
      </c>
      <c r="B228">
        <v>50</v>
      </c>
      <c r="C228">
        <v>763</v>
      </c>
      <c r="D228" t="s">
        <v>554</v>
      </c>
    </row>
    <row r="229" spans="1:4" x14ac:dyDescent="0.25">
      <c r="A229">
        <v>528</v>
      </c>
      <c r="B229">
        <v>60</v>
      </c>
      <c r="C229">
        <v>729</v>
      </c>
      <c r="D229" t="s">
        <v>554</v>
      </c>
    </row>
    <row r="230" spans="1:4" x14ac:dyDescent="0.25">
      <c r="A230">
        <v>379</v>
      </c>
      <c r="B230">
        <v>50</v>
      </c>
      <c r="C230">
        <v>691</v>
      </c>
      <c r="D230" t="s">
        <v>554</v>
      </c>
    </row>
    <row r="231" spans="1:4" x14ac:dyDescent="0.25">
      <c r="A231">
        <v>387</v>
      </c>
      <c r="B231">
        <v>50</v>
      </c>
      <c r="C231">
        <v>654</v>
      </c>
      <c r="D231" t="s">
        <v>554</v>
      </c>
    </row>
    <row r="232" spans="1:4" x14ac:dyDescent="0.25">
      <c r="A232">
        <v>383</v>
      </c>
      <c r="B232">
        <v>50</v>
      </c>
      <c r="C232">
        <v>638</v>
      </c>
      <c r="D232" t="s">
        <v>554</v>
      </c>
    </row>
    <row r="233" spans="1:4" x14ac:dyDescent="0.25">
      <c r="A233">
        <v>385</v>
      </c>
      <c r="B233">
        <v>50</v>
      </c>
      <c r="C233">
        <v>633</v>
      </c>
      <c r="D233" t="s">
        <v>554</v>
      </c>
    </row>
    <row r="234" spans="1:4" x14ac:dyDescent="0.25">
      <c r="A234">
        <v>363</v>
      </c>
      <c r="B234">
        <v>50</v>
      </c>
      <c r="C234">
        <v>619</v>
      </c>
      <c r="D234" t="s">
        <v>554</v>
      </c>
    </row>
    <row r="235" spans="1:4" x14ac:dyDescent="0.25">
      <c r="A235">
        <v>365</v>
      </c>
      <c r="B235">
        <v>50</v>
      </c>
      <c r="C235">
        <v>619</v>
      </c>
      <c r="D235" t="s">
        <v>554</v>
      </c>
    </row>
    <row r="236" spans="1:4" x14ac:dyDescent="0.25">
      <c r="A236">
        <v>396</v>
      </c>
      <c r="B236">
        <v>50</v>
      </c>
      <c r="C236">
        <v>603</v>
      </c>
      <c r="D236" t="s">
        <v>554</v>
      </c>
    </row>
    <row r="237" spans="1:4" x14ac:dyDescent="0.25">
      <c r="A237">
        <v>346</v>
      </c>
      <c r="B237">
        <v>1</v>
      </c>
      <c r="C237">
        <v>585</v>
      </c>
      <c r="D237" t="s">
        <v>554</v>
      </c>
    </row>
    <row r="238" spans="1:4" x14ac:dyDescent="0.25">
      <c r="A238">
        <v>367</v>
      </c>
      <c r="B238">
        <v>50</v>
      </c>
      <c r="C238">
        <v>569</v>
      </c>
      <c r="D238" t="s">
        <v>554</v>
      </c>
    </row>
    <row r="239" spans="1:4" x14ac:dyDescent="0.25">
      <c r="A239">
        <v>343</v>
      </c>
      <c r="B239">
        <v>1</v>
      </c>
      <c r="C239">
        <v>568</v>
      </c>
      <c r="D239" t="s">
        <v>554</v>
      </c>
    </row>
    <row r="240" spans="1:4" x14ac:dyDescent="0.25">
      <c r="A240">
        <v>376</v>
      </c>
      <c r="B240">
        <v>50</v>
      </c>
      <c r="C240">
        <v>547</v>
      </c>
      <c r="D240" t="s">
        <v>554</v>
      </c>
    </row>
    <row r="241" spans="1:4" x14ac:dyDescent="0.25">
      <c r="A241">
        <v>371</v>
      </c>
      <c r="B241">
        <v>50</v>
      </c>
      <c r="C241">
        <v>547</v>
      </c>
      <c r="D241" t="s">
        <v>554</v>
      </c>
    </row>
    <row r="242" spans="1:4" x14ac:dyDescent="0.25">
      <c r="A242">
        <v>532</v>
      </c>
      <c r="B242">
        <v>60</v>
      </c>
      <c r="C242">
        <v>542</v>
      </c>
      <c r="D242" t="s">
        <v>554</v>
      </c>
    </row>
    <row r="243" spans="1:4" x14ac:dyDescent="0.25">
      <c r="A243">
        <v>361</v>
      </c>
      <c r="B243">
        <v>50</v>
      </c>
      <c r="C243">
        <v>531</v>
      </c>
      <c r="D243" t="s">
        <v>554</v>
      </c>
    </row>
    <row r="244" spans="1:4" x14ac:dyDescent="0.25">
      <c r="A244">
        <v>480</v>
      </c>
      <c r="B244">
        <v>5</v>
      </c>
      <c r="C244">
        <v>515</v>
      </c>
      <c r="D244" t="s">
        <v>554</v>
      </c>
    </row>
    <row r="245" spans="1:4" x14ac:dyDescent="0.25">
      <c r="A245">
        <v>393</v>
      </c>
      <c r="B245">
        <v>50</v>
      </c>
      <c r="C245">
        <v>497</v>
      </c>
      <c r="D245" t="s">
        <v>554</v>
      </c>
    </row>
    <row r="246" spans="1:4" x14ac:dyDescent="0.25">
      <c r="A246">
        <v>370</v>
      </c>
      <c r="B246">
        <v>50</v>
      </c>
      <c r="C246">
        <v>476</v>
      </c>
      <c r="D246" t="s">
        <v>554</v>
      </c>
    </row>
    <row r="247" spans="1:4" x14ac:dyDescent="0.25">
      <c r="A247">
        <v>389</v>
      </c>
      <c r="B247">
        <v>50</v>
      </c>
      <c r="C247">
        <v>460</v>
      </c>
      <c r="D247" t="s">
        <v>554</v>
      </c>
    </row>
    <row r="248" spans="1:4" x14ac:dyDescent="0.25">
      <c r="A248">
        <v>394</v>
      </c>
      <c r="B248">
        <v>50</v>
      </c>
      <c r="C248">
        <v>459</v>
      </c>
      <c r="D248" t="s">
        <v>554</v>
      </c>
    </row>
    <row r="249" spans="1:4" x14ac:dyDescent="0.25">
      <c r="A249">
        <v>530</v>
      </c>
      <c r="B249">
        <v>60</v>
      </c>
      <c r="C249">
        <v>444</v>
      </c>
      <c r="D249" t="s">
        <v>554</v>
      </c>
    </row>
    <row r="250" spans="1:4" x14ac:dyDescent="0.25">
      <c r="A250">
        <v>366</v>
      </c>
      <c r="B250">
        <v>50</v>
      </c>
      <c r="C250">
        <v>412</v>
      </c>
      <c r="D250" t="s">
        <v>554</v>
      </c>
    </row>
    <row r="251" spans="1:4" x14ac:dyDescent="0.25">
      <c r="A251">
        <v>377</v>
      </c>
      <c r="B251">
        <v>50</v>
      </c>
      <c r="C251">
        <v>393</v>
      </c>
      <c r="D251" t="s">
        <v>554</v>
      </c>
    </row>
    <row r="252" spans="1:4" x14ac:dyDescent="0.25">
      <c r="A252">
        <v>504</v>
      </c>
      <c r="B252">
        <v>1</v>
      </c>
      <c r="C252">
        <v>392</v>
      </c>
      <c r="D252" t="s">
        <v>554</v>
      </c>
    </row>
    <row r="253" spans="1:4" x14ac:dyDescent="0.25">
      <c r="A253">
        <v>479</v>
      </c>
      <c r="B253">
        <v>5</v>
      </c>
      <c r="C253">
        <v>390</v>
      </c>
      <c r="D253" t="s">
        <v>554</v>
      </c>
    </row>
    <row r="254" spans="1:4" x14ac:dyDescent="0.25">
      <c r="A254">
        <v>505</v>
      </c>
      <c r="B254">
        <v>1</v>
      </c>
      <c r="C254">
        <v>388</v>
      </c>
      <c r="D254" t="s">
        <v>554</v>
      </c>
    </row>
    <row r="255" spans="1:4" x14ac:dyDescent="0.25">
      <c r="A255">
        <v>378</v>
      </c>
      <c r="B255">
        <v>50</v>
      </c>
      <c r="C255">
        <v>388</v>
      </c>
      <c r="D255" t="s">
        <v>554</v>
      </c>
    </row>
    <row r="256" spans="1:4" x14ac:dyDescent="0.25">
      <c r="A256">
        <v>533</v>
      </c>
      <c r="B256">
        <v>60</v>
      </c>
      <c r="C256">
        <v>388</v>
      </c>
      <c r="D256" t="s">
        <v>554</v>
      </c>
    </row>
    <row r="257" spans="1:4" x14ac:dyDescent="0.25">
      <c r="A257">
        <v>386</v>
      </c>
      <c r="B257">
        <v>50</v>
      </c>
      <c r="C257">
        <v>385</v>
      </c>
      <c r="D257" t="s">
        <v>554</v>
      </c>
    </row>
    <row r="258" spans="1:4" x14ac:dyDescent="0.25">
      <c r="A258">
        <v>368</v>
      </c>
      <c r="B258">
        <v>50</v>
      </c>
      <c r="C258">
        <v>374</v>
      </c>
      <c r="D258" t="s">
        <v>554</v>
      </c>
    </row>
    <row r="259" spans="1:4" x14ac:dyDescent="0.25">
      <c r="A259">
        <v>359</v>
      </c>
      <c r="B259">
        <v>50</v>
      </c>
      <c r="C259">
        <v>374</v>
      </c>
      <c r="D259" t="s">
        <v>554</v>
      </c>
    </row>
    <row r="260" spans="1:4" x14ac:dyDescent="0.25">
      <c r="A260">
        <v>481</v>
      </c>
      <c r="B260">
        <v>5</v>
      </c>
      <c r="C260">
        <v>374</v>
      </c>
      <c r="D260" t="s">
        <v>554</v>
      </c>
    </row>
    <row r="261" spans="1:4" x14ac:dyDescent="0.25">
      <c r="A261">
        <v>531</v>
      </c>
      <c r="B261">
        <v>60</v>
      </c>
      <c r="C261">
        <v>374</v>
      </c>
      <c r="D261" t="s">
        <v>554</v>
      </c>
    </row>
    <row r="262" spans="1:4" x14ac:dyDescent="0.25">
      <c r="A262">
        <v>341</v>
      </c>
      <c r="B262">
        <v>1</v>
      </c>
      <c r="C262">
        <v>372</v>
      </c>
      <c r="D262" t="s">
        <v>554</v>
      </c>
    </row>
    <row r="263" spans="1:4" x14ac:dyDescent="0.25">
      <c r="A263">
        <v>392</v>
      </c>
      <c r="B263">
        <v>50</v>
      </c>
      <c r="C263">
        <v>372</v>
      </c>
      <c r="D263" t="s">
        <v>554</v>
      </c>
    </row>
    <row r="264" spans="1:4" x14ac:dyDescent="0.25">
      <c r="A264">
        <v>529</v>
      </c>
      <c r="B264">
        <v>60</v>
      </c>
      <c r="C264">
        <v>371</v>
      </c>
      <c r="D264" t="s">
        <v>554</v>
      </c>
    </row>
    <row r="265" spans="1:4" x14ac:dyDescent="0.25">
      <c r="A265">
        <v>391</v>
      </c>
      <c r="B265">
        <v>50</v>
      </c>
      <c r="C265">
        <v>369</v>
      </c>
      <c r="D265" t="s">
        <v>554</v>
      </c>
    </row>
    <row r="266" spans="1:4" x14ac:dyDescent="0.25">
      <c r="A266">
        <v>342</v>
      </c>
      <c r="B266">
        <v>1</v>
      </c>
      <c r="C266">
        <v>369</v>
      </c>
      <c r="D266" t="s">
        <v>554</v>
      </c>
    </row>
    <row r="267" spans="1:4" x14ac:dyDescent="0.25">
      <c r="A267">
        <v>360</v>
      </c>
      <c r="B267">
        <v>50</v>
      </c>
      <c r="C267">
        <v>368</v>
      </c>
      <c r="D267" t="s">
        <v>554</v>
      </c>
    </row>
    <row r="268" spans="1:4" x14ac:dyDescent="0.25">
      <c r="A268">
        <v>369</v>
      </c>
      <c r="B268">
        <v>50</v>
      </c>
      <c r="C268">
        <v>368</v>
      </c>
      <c r="D268" t="s">
        <v>554</v>
      </c>
    </row>
    <row r="269" spans="1:4" x14ac:dyDescent="0.25">
      <c r="A269">
        <v>388</v>
      </c>
      <c r="B269">
        <v>50</v>
      </c>
      <c r="C269">
        <v>366</v>
      </c>
      <c r="D269" t="s">
        <v>554</v>
      </c>
    </row>
    <row r="270" spans="1:4" x14ac:dyDescent="0.25">
      <c r="A270">
        <v>390</v>
      </c>
      <c r="B270">
        <v>50</v>
      </c>
      <c r="C270">
        <v>366</v>
      </c>
      <c r="D270" t="s">
        <v>554</v>
      </c>
    </row>
    <row r="271" spans="1:4" x14ac:dyDescent="0.25">
      <c r="A271">
        <v>382</v>
      </c>
      <c r="B271">
        <v>50</v>
      </c>
      <c r="C271">
        <v>363</v>
      </c>
      <c r="D271" t="s">
        <v>554</v>
      </c>
    </row>
    <row r="272" spans="1:4" x14ac:dyDescent="0.25">
      <c r="A272">
        <v>344</v>
      </c>
      <c r="B272">
        <v>1</v>
      </c>
      <c r="C272">
        <v>358</v>
      </c>
      <c r="D272" t="s">
        <v>554</v>
      </c>
    </row>
    <row r="273" spans="1:4" x14ac:dyDescent="0.25">
      <c r="A273">
        <v>381</v>
      </c>
      <c r="B273">
        <v>50</v>
      </c>
      <c r="C273">
        <v>356</v>
      </c>
      <c r="D273" t="s">
        <v>554</v>
      </c>
    </row>
    <row r="274" spans="1:4" x14ac:dyDescent="0.25">
      <c r="A274">
        <v>380</v>
      </c>
      <c r="B274">
        <v>50</v>
      </c>
      <c r="C274">
        <v>350</v>
      </c>
      <c r="D274" t="s">
        <v>554</v>
      </c>
    </row>
    <row r="275" spans="1:4" x14ac:dyDescent="0.25">
      <c r="A275">
        <v>907</v>
      </c>
      <c r="B275">
        <v>1</v>
      </c>
      <c r="C275">
        <v>337</v>
      </c>
      <c r="D275" t="s">
        <v>554</v>
      </c>
    </row>
    <row r="276" spans="1:4" x14ac:dyDescent="0.25">
      <c r="A276">
        <v>894</v>
      </c>
      <c r="B276">
        <v>1</v>
      </c>
      <c r="C276">
        <v>337</v>
      </c>
      <c r="D276" t="s">
        <v>554</v>
      </c>
    </row>
    <row r="277" spans="1:4" x14ac:dyDescent="0.25">
      <c r="A277">
        <v>497</v>
      </c>
      <c r="B277">
        <v>1</v>
      </c>
      <c r="C277">
        <v>336</v>
      </c>
      <c r="D277" t="s">
        <v>554</v>
      </c>
    </row>
    <row r="278" spans="1:4" x14ac:dyDescent="0.25">
      <c r="A278">
        <v>362</v>
      </c>
      <c r="B278">
        <v>50</v>
      </c>
      <c r="C278">
        <v>334</v>
      </c>
      <c r="D278" t="s">
        <v>554</v>
      </c>
    </row>
    <row r="279" spans="1:4" x14ac:dyDescent="0.25">
      <c r="A279">
        <v>349</v>
      </c>
      <c r="B279">
        <v>1</v>
      </c>
      <c r="C279">
        <v>328</v>
      </c>
      <c r="D279" t="s">
        <v>554</v>
      </c>
    </row>
    <row r="280" spans="1:4" x14ac:dyDescent="0.25">
      <c r="A280">
        <v>364</v>
      </c>
      <c r="B280">
        <v>50</v>
      </c>
      <c r="C280">
        <v>326</v>
      </c>
      <c r="D280" t="s">
        <v>554</v>
      </c>
    </row>
    <row r="281" spans="1:4" x14ac:dyDescent="0.25">
      <c r="A281">
        <v>348</v>
      </c>
      <c r="B281">
        <v>1</v>
      </c>
      <c r="C281">
        <v>323</v>
      </c>
      <c r="D281" t="s">
        <v>554</v>
      </c>
    </row>
    <row r="282" spans="1:4" x14ac:dyDescent="0.25">
      <c r="A282">
        <v>345</v>
      </c>
      <c r="B282">
        <v>1</v>
      </c>
      <c r="C282">
        <v>321</v>
      </c>
      <c r="D282" t="s">
        <v>554</v>
      </c>
    </row>
    <row r="283" spans="1:4" x14ac:dyDescent="0.25">
      <c r="A283">
        <v>347</v>
      </c>
      <c r="B283">
        <v>1</v>
      </c>
      <c r="C283">
        <v>318</v>
      </c>
      <c r="D283" t="s">
        <v>554</v>
      </c>
    </row>
    <row r="284" spans="1:4" x14ac:dyDescent="0.25">
      <c r="A284">
        <v>506</v>
      </c>
      <c r="B284">
        <v>1</v>
      </c>
      <c r="C284">
        <v>316</v>
      </c>
      <c r="D284" t="s">
        <v>554</v>
      </c>
    </row>
    <row r="285" spans="1:4" x14ac:dyDescent="0.25">
      <c r="A285">
        <v>940</v>
      </c>
      <c r="B285">
        <v>1</v>
      </c>
      <c r="C285">
        <v>316</v>
      </c>
      <c r="D285" t="s">
        <v>554</v>
      </c>
    </row>
    <row r="286" spans="1:4" x14ac:dyDescent="0.25">
      <c r="A286">
        <v>384</v>
      </c>
      <c r="B286">
        <v>50</v>
      </c>
      <c r="C286">
        <v>304</v>
      </c>
      <c r="D286" t="s">
        <v>554</v>
      </c>
    </row>
    <row r="287" spans="1:4" x14ac:dyDescent="0.25">
      <c r="A287">
        <v>375</v>
      </c>
      <c r="B287">
        <v>50</v>
      </c>
      <c r="C287">
        <v>281</v>
      </c>
      <c r="D287" t="s">
        <v>554</v>
      </c>
    </row>
    <row r="288" spans="1:4" x14ac:dyDescent="0.25">
      <c r="A288">
        <v>374</v>
      </c>
      <c r="B288">
        <v>50</v>
      </c>
      <c r="C288">
        <v>278</v>
      </c>
      <c r="D288" t="s">
        <v>554</v>
      </c>
    </row>
    <row r="289" spans="1:4" x14ac:dyDescent="0.25">
      <c r="A289">
        <v>951</v>
      </c>
      <c r="B289">
        <v>1</v>
      </c>
      <c r="C289">
        <v>278</v>
      </c>
      <c r="D289" t="s">
        <v>554</v>
      </c>
    </row>
    <row r="290" spans="1:4" x14ac:dyDescent="0.25">
      <c r="A290">
        <v>373</v>
      </c>
      <c r="B290">
        <v>50</v>
      </c>
      <c r="C290">
        <v>275</v>
      </c>
      <c r="D290" t="s">
        <v>554</v>
      </c>
    </row>
    <row r="291" spans="1:4" x14ac:dyDescent="0.25">
      <c r="A291">
        <v>372</v>
      </c>
      <c r="B291">
        <v>50</v>
      </c>
      <c r="C291">
        <v>272</v>
      </c>
      <c r="D291" t="s">
        <v>554</v>
      </c>
    </row>
    <row r="292" spans="1:4" x14ac:dyDescent="0.25">
      <c r="A292">
        <v>950</v>
      </c>
      <c r="B292">
        <v>1</v>
      </c>
      <c r="C292">
        <v>272</v>
      </c>
      <c r="D292" t="s">
        <v>554</v>
      </c>
    </row>
    <row r="293" spans="1:4" x14ac:dyDescent="0.25">
      <c r="A293">
        <v>808</v>
      </c>
      <c r="B293">
        <v>10</v>
      </c>
      <c r="C293">
        <v>267</v>
      </c>
      <c r="D293" t="s">
        <v>554</v>
      </c>
    </row>
    <row r="294" spans="1:4" x14ac:dyDescent="0.25">
      <c r="A294">
        <v>949</v>
      </c>
      <c r="B294">
        <v>1</v>
      </c>
      <c r="C294">
        <v>265</v>
      </c>
      <c r="D294" t="s">
        <v>554</v>
      </c>
    </row>
    <row r="295" spans="1:4" x14ac:dyDescent="0.25">
      <c r="A295">
        <v>809</v>
      </c>
      <c r="B295">
        <v>10</v>
      </c>
      <c r="C295">
        <v>264</v>
      </c>
      <c r="D295" t="s">
        <v>554</v>
      </c>
    </row>
    <row r="296" spans="1:4" x14ac:dyDescent="0.25">
      <c r="A296">
        <v>810</v>
      </c>
      <c r="B296">
        <v>10</v>
      </c>
      <c r="C296">
        <v>260</v>
      </c>
      <c r="D296" t="s">
        <v>554</v>
      </c>
    </row>
    <row r="297" spans="1:4" x14ac:dyDescent="0.25">
      <c r="A297">
        <v>811</v>
      </c>
      <c r="B297">
        <v>10</v>
      </c>
      <c r="C297">
        <v>257</v>
      </c>
      <c r="D297" t="s">
        <v>554</v>
      </c>
    </row>
    <row r="298" spans="1:4" x14ac:dyDescent="0.25">
      <c r="A298">
        <v>812</v>
      </c>
      <c r="B298">
        <v>10</v>
      </c>
      <c r="C298">
        <v>254</v>
      </c>
      <c r="D298" t="s">
        <v>554</v>
      </c>
    </row>
    <row r="299" spans="1:4" x14ac:dyDescent="0.25">
      <c r="A299">
        <v>813</v>
      </c>
      <c r="B299">
        <v>10</v>
      </c>
      <c r="C299">
        <v>251</v>
      </c>
      <c r="D299" t="s">
        <v>554</v>
      </c>
    </row>
    <row r="300" spans="1:4" x14ac:dyDescent="0.25">
      <c r="A300">
        <v>946</v>
      </c>
      <c r="B300">
        <v>10</v>
      </c>
      <c r="C300">
        <v>248</v>
      </c>
      <c r="D300" t="s">
        <v>554</v>
      </c>
    </row>
    <row r="301" spans="1:4" x14ac:dyDescent="0.25">
      <c r="A301">
        <v>947</v>
      </c>
      <c r="B301">
        <v>10</v>
      </c>
      <c r="C301">
        <v>244</v>
      </c>
      <c r="D301" t="s">
        <v>554</v>
      </c>
    </row>
    <row r="302" spans="1:4" x14ac:dyDescent="0.25">
      <c r="A302">
        <v>941</v>
      </c>
      <c r="B302">
        <v>1</v>
      </c>
      <c r="C302">
        <v>235</v>
      </c>
      <c r="D302" t="s">
        <v>554</v>
      </c>
    </row>
    <row r="303" spans="1:4" x14ac:dyDescent="0.25">
      <c r="A303">
        <v>807</v>
      </c>
      <c r="B303">
        <v>50</v>
      </c>
      <c r="C303">
        <v>219</v>
      </c>
      <c r="D303" t="s">
        <v>554</v>
      </c>
    </row>
    <row r="304" spans="1:4" x14ac:dyDescent="0.25">
      <c r="A304">
        <v>806</v>
      </c>
      <c r="B304">
        <v>50</v>
      </c>
      <c r="C304">
        <v>216</v>
      </c>
      <c r="D304" t="s">
        <v>554</v>
      </c>
    </row>
    <row r="305" spans="1:4" x14ac:dyDescent="0.25">
      <c r="A305">
        <v>805</v>
      </c>
      <c r="B305">
        <v>50</v>
      </c>
      <c r="C305">
        <v>212</v>
      </c>
      <c r="D305" t="s">
        <v>554</v>
      </c>
    </row>
    <row r="306" spans="1:4" x14ac:dyDescent="0.25">
      <c r="A306">
        <v>935</v>
      </c>
      <c r="B306">
        <v>1</v>
      </c>
      <c r="C306">
        <v>174</v>
      </c>
      <c r="D306" t="s">
        <v>554</v>
      </c>
    </row>
    <row r="307" spans="1:4" x14ac:dyDescent="0.25">
      <c r="A307">
        <v>936</v>
      </c>
      <c r="B307">
        <v>1</v>
      </c>
      <c r="C307">
        <v>172</v>
      </c>
      <c r="D307" t="s">
        <v>554</v>
      </c>
    </row>
    <row r="308" spans="1:4" x14ac:dyDescent="0.25">
      <c r="A308">
        <v>937</v>
      </c>
      <c r="B308">
        <v>1</v>
      </c>
      <c r="C308">
        <v>171</v>
      </c>
      <c r="D308" t="s">
        <v>554</v>
      </c>
    </row>
    <row r="309" spans="1:4" x14ac:dyDescent="0.25">
      <c r="A309">
        <v>938</v>
      </c>
      <c r="B309">
        <v>1</v>
      </c>
      <c r="C309">
        <v>169</v>
      </c>
      <c r="D309" t="s">
        <v>554</v>
      </c>
    </row>
    <row r="310" spans="1:4" x14ac:dyDescent="0.25">
      <c r="A310">
        <v>939</v>
      </c>
      <c r="B310">
        <v>1</v>
      </c>
      <c r="C310">
        <v>168</v>
      </c>
      <c r="D310" t="s">
        <v>554</v>
      </c>
    </row>
    <row r="311" spans="1:4" x14ac:dyDescent="0.25">
      <c r="A311">
        <v>679</v>
      </c>
      <c r="B311">
        <v>1</v>
      </c>
      <c r="C311">
        <v>164</v>
      </c>
      <c r="D311" t="s">
        <v>554</v>
      </c>
    </row>
    <row r="312" spans="1:4" x14ac:dyDescent="0.25">
      <c r="A312">
        <v>395</v>
      </c>
      <c r="B312">
        <v>50</v>
      </c>
      <c r="C312">
        <v>148</v>
      </c>
      <c r="D312" t="s">
        <v>554</v>
      </c>
    </row>
    <row r="313" spans="1:4" x14ac:dyDescent="0.25">
      <c r="A313">
        <v>528</v>
      </c>
      <c r="B313">
        <v>6</v>
      </c>
      <c r="C313">
        <v>924</v>
      </c>
      <c r="D313" t="s">
        <v>82</v>
      </c>
    </row>
    <row r="314" spans="1:4" x14ac:dyDescent="0.25">
      <c r="A314">
        <v>532</v>
      </c>
      <c r="B314">
        <v>6</v>
      </c>
      <c r="C314">
        <v>715</v>
      </c>
      <c r="D314" t="s">
        <v>82</v>
      </c>
    </row>
    <row r="315" spans="1:4" x14ac:dyDescent="0.25">
      <c r="A315">
        <v>527</v>
      </c>
      <c r="B315">
        <v>50</v>
      </c>
      <c r="C315">
        <v>702</v>
      </c>
      <c r="D315" t="s">
        <v>82</v>
      </c>
    </row>
    <row r="316" spans="1:4" x14ac:dyDescent="0.25">
      <c r="A316">
        <v>413</v>
      </c>
      <c r="B316">
        <v>1</v>
      </c>
      <c r="C316">
        <v>641</v>
      </c>
      <c r="D316" t="s">
        <v>82</v>
      </c>
    </row>
    <row r="317" spans="1:4" x14ac:dyDescent="0.25">
      <c r="A317">
        <v>526</v>
      </c>
      <c r="B317">
        <v>50</v>
      </c>
      <c r="C317">
        <v>624</v>
      </c>
      <c r="D317" t="s">
        <v>82</v>
      </c>
    </row>
    <row r="318" spans="1:4" x14ac:dyDescent="0.25">
      <c r="A318">
        <v>525</v>
      </c>
      <c r="B318">
        <v>50</v>
      </c>
      <c r="C318">
        <v>619</v>
      </c>
      <c r="D318" t="s">
        <v>82</v>
      </c>
    </row>
    <row r="319" spans="1:4" x14ac:dyDescent="0.25">
      <c r="A319">
        <v>489</v>
      </c>
      <c r="B319">
        <v>6</v>
      </c>
      <c r="C319">
        <v>619</v>
      </c>
      <c r="D319" t="s">
        <v>82</v>
      </c>
    </row>
    <row r="320" spans="1:4" x14ac:dyDescent="0.25">
      <c r="A320">
        <v>411</v>
      </c>
      <c r="B320">
        <v>1</v>
      </c>
      <c r="C320">
        <v>603</v>
      </c>
      <c r="D320" t="s">
        <v>82</v>
      </c>
    </row>
    <row r="321" spans="1:4" x14ac:dyDescent="0.25">
      <c r="A321">
        <v>490</v>
      </c>
      <c r="B321">
        <v>6</v>
      </c>
      <c r="C321">
        <v>600</v>
      </c>
      <c r="D321" t="s">
        <v>82</v>
      </c>
    </row>
    <row r="322" spans="1:4" x14ac:dyDescent="0.25">
      <c r="A322">
        <v>417</v>
      </c>
      <c r="B322">
        <v>1</v>
      </c>
      <c r="C322">
        <v>572</v>
      </c>
      <c r="D322" t="s">
        <v>82</v>
      </c>
    </row>
    <row r="323" spans="1:4" x14ac:dyDescent="0.25">
      <c r="A323">
        <v>407</v>
      </c>
      <c r="B323">
        <v>1</v>
      </c>
      <c r="C323">
        <v>460</v>
      </c>
      <c r="D323" t="s">
        <v>82</v>
      </c>
    </row>
    <row r="324" spans="1:4" x14ac:dyDescent="0.25">
      <c r="A324">
        <v>327</v>
      </c>
      <c r="B324">
        <v>10</v>
      </c>
      <c r="C324">
        <v>443</v>
      </c>
      <c r="D324" t="s">
        <v>82</v>
      </c>
    </row>
    <row r="325" spans="1:4" x14ac:dyDescent="0.25">
      <c r="A325">
        <v>533</v>
      </c>
      <c r="B325">
        <v>6</v>
      </c>
      <c r="C325">
        <v>443</v>
      </c>
      <c r="D325" t="s">
        <v>82</v>
      </c>
    </row>
    <row r="326" spans="1:4" x14ac:dyDescent="0.25">
      <c r="A326">
        <v>531</v>
      </c>
      <c r="B326">
        <v>6</v>
      </c>
      <c r="C326">
        <v>427</v>
      </c>
      <c r="D326" t="s">
        <v>82</v>
      </c>
    </row>
    <row r="327" spans="1:4" x14ac:dyDescent="0.25">
      <c r="A327">
        <v>414</v>
      </c>
      <c r="B327">
        <v>1</v>
      </c>
      <c r="C327">
        <v>427</v>
      </c>
      <c r="D327" t="s">
        <v>82</v>
      </c>
    </row>
    <row r="328" spans="1:4" x14ac:dyDescent="0.25">
      <c r="A328">
        <v>529</v>
      </c>
      <c r="B328">
        <v>6</v>
      </c>
      <c r="C328">
        <v>425</v>
      </c>
      <c r="D328" t="s">
        <v>82</v>
      </c>
    </row>
    <row r="329" spans="1:4" x14ac:dyDescent="0.25">
      <c r="A329">
        <v>415</v>
      </c>
      <c r="B329">
        <v>1</v>
      </c>
      <c r="C329">
        <v>422</v>
      </c>
      <c r="D329" t="s">
        <v>82</v>
      </c>
    </row>
    <row r="330" spans="1:4" x14ac:dyDescent="0.25">
      <c r="A330">
        <v>491</v>
      </c>
      <c r="B330">
        <v>6</v>
      </c>
      <c r="C330">
        <v>420</v>
      </c>
      <c r="D330" t="s">
        <v>82</v>
      </c>
    </row>
    <row r="331" spans="1:4" x14ac:dyDescent="0.25">
      <c r="A331">
        <v>416</v>
      </c>
      <c r="B331">
        <v>1</v>
      </c>
      <c r="C331">
        <v>417</v>
      </c>
      <c r="D331" t="s">
        <v>82</v>
      </c>
    </row>
    <row r="332" spans="1:4" x14ac:dyDescent="0.25">
      <c r="A332">
        <v>408</v>
      </c>
      <c r="B332">
        <v>1</v>
      </c>
      <c r="C332">
        <v>417</v>
      </c>
      <c r="D332" t="s">
        <v>82</v>
      </c>
    </row>
    <row r="333" spans="1:4" x14ac:dyDescent="0.25">
      <c r="A333">
        <v>409</v>
      </c>
      <c r="B333">
        <v>1</v>
      </c>
      <c r="C333">
        <v>414</v>
      </c>
      <c r="D333" t="s">
        <v>82</v>
      </c>
    </row>
    <row r="334" spans="1:4" x14ac:dyDescent="0.25">
      <c r="A334">
        <v>410</v>
      </c>
      <c r="B334">
        <v>1</v>
      </c>
      <c r="C334">
        <v>411</v>
      </c>
      <c r="D334" t="s">
        <v>82</v>
      </c>
    </row>
    <row r="335" spans="1:4" x14ac:dyDescent="0.25">
      <c r="A335">
        <v>914</v>
      </c>
      <c r="B335">
        <v>60</v>
      </c>
      <c r="C335">
        <v>382</v>
      </c>
      <c r="D335" t="s">
        <v>82</v>
      </c>
    </row>
    <row r="336" spans="1:4" x14ac:dyDescent="0.25">
      <c r="A336">
        <v>530</v>
      </c>
      <c r="B336">
        <v>6</v>
      </c>
      <c r="C336">
        <v>336</v>
      </c>
      <c r="D336" t="s">
        <v>82</v>
      </c>
    </row>
    <row r="337" spans="1:4" x14ac:dyDescent="0.25">
      <c r="A337">
        <v>808</v>
      </c>
      <c r="B337">
        <v>50</v>
      </c>
      <c r="C337">
        <v>316</v>
      </c>
      <c r="D337" t="s">
        <v>82</v>
      </c>
    </row>
    <row r="338" spans="1:4" x14ac:dyDescent="0.25">
      <c r="A338">
        <v>402</v>
      </c>
      <c r="B338">
        <v>1</v>
      </c>
      <c r="C338">
        <v>316</v>
      </c>
      <c r="D338" t="s">
        <v>82</v>
      </c>
    </row>
    <row r="339" spans="1:4" x14ac:dyDescent="0.25">
      <c r="A339">
        <v>403</v>
      </c>
      <c r="B339">
        <v>1</v>
      </c>
      <c r="C339">
        <v>313</v>
      </c>
      <c r="D339" t="s">
        <v>82</v>
      </c>
    </row>
    <row r="340" spans="1:4" x14ac:dyDescent="0.25">
      <c r="A340">
        <v>809</v>
      </c>
      <c r="B340">
        <v>50</v>
      </c>
      <c r="C340">
        <v>313</v>
      </c>
      <c r="D340" t="s">
        <v>82</v>
      </c>
    </row>
    <row r="341" spans="1:4" x14ac:dyDescent="0.25">
      <c r="A341">
        <v>810</v>
      </c>
      <c r="B341">
        <v>50</v>
      </c>
      <c r="C341">
        <v>310</v>
      </c>
      <c r="D341" t="s">
        <v>82</v>
      </c>
    </row>
    <row r="342" spans="1:4" x14ac:dyDescent="0.25">
      <c r="A342">
        <v>404</v>
      </c>
      <c r="B342">
        <v>1</v>
      </c>
      <c r="C342">
        <v>310</v>
      </c>
      <c r="D342" t="s">
        <v>82</v>
      </c>
    </row>
    <row r="343" spans="1:4" x14ac:dyDescent="0.25">
      <c r="A343">
        <v>405</v>
      </c>
      <c r="B343">
        <v>1</v>
      </c>
      <c r="C343">
        <v>307</v>
      </c>
      <c r="D343" t="s">
        <v>82</v>
      </c>
    </row>
    <row r="344" spans="1:4" x14ac:dyDescent="0.25">
      <c r="A344">
        <v>811</v>
      </c>
      <c r="B344">
        <v>50</v>
      </c>
      <c r="C344">
        <v>307</v>
      </c>
      <c r="D344" t="s">
        <v>82</v>
      </c>
    </row>
    <row r="345" spans="1:4" x14ac:dyDescent="0.25">
      <c r="A345">
        <v>812</v>
      </c>
      <c r="B345">
        <v>50</v>
      </c>
      <c r="C345">
        <v>304</v>
      </c>
      <c r="D345" t="s">
        <v>82</v>
      </c>
    </row>
    <row r="346" spans="1:4" x14ac:dyDescent="0.25">
      <c r="A346">
        <v>406</v>
      </c>
      <c r="B346">
        <v>1</v>
      </c>
      <c r="C346">
        <v>304</v>
      </c>
      <c r="D346" t="s">
        <v>82</v>
      </c>
    </row>
    <row r="347" spans="1:4" x14ac:dyDescent="0.25">
      <c r="A347">
        <v>911</v>
      </c>
      <c r="B347">
        <v>60</v>
      </c>
      <c r="C347">
        <v>302</v>
      </c>
      <c r="D347" t="s">
        <v>82</v>
      </c>
    </row>
    <row r="348" spans="1:4" x14ac:dyDescent="0.25">
      <c r="A348">
        <v>813</v>
      </c>
      <c r="B348">
        <v>50</v>
      </c>
      <c r="C348">
        <v>300</v>
      </c>
      <c r="D348" t="s">
        <v>82</v>
      </c>
    </row>
    <row r="349" spans="1:4" x14ac:dyDescent="0.25">
      <c r="A349">
        <v>412</v>
      </c>
      <c r="B349">
        <v>1</v>
      </c>
      <c r="C349">
        <v>299</v>
      </c>
      <c r="D349" t="s">
        <v>82</v>
      </c>
    </row>
    <row r="350" spans="1:4" x14ac:dyDescent="0.25">
      <c r="A350">
        <v>946</v>
      </c>
      <c r="B350">
        <v>50</v>
      </c>
      <c r="C350">
        <v>297</v>
      </c>
      <c r="D350" t="s">
        <v>82</v>
      </c>
    </row>
    <row r="351" spans="1:4" x14ac:dyDescent="0.25">
      <c r="A351">
        <v>947</v>
      </c>
      <c r="B351">
        <v>50</v>
      </c>
      <c r="C351">
        <v>294</v>
      </c>
      <c r="D351" t="s">
        <v>82</v>
      </c>
    </row>
    <row r="352" spans="1:4" x14ac:dyDescent="0.25">
      <c r="A352">
        <v>916</v>
      </c>
      <c r="B352">
        <v>60</v>
      </c>
      <c r="C352">
        <v>276</v>
      </c>
      <c r="D352" t="s">
        <v>82</v>
      </c>
    </row>
    <row r="353" spans="1:4" x14ac:dyDescent="0.25">
      <c r="A353">
        <v>418</v>
      </c>
      <c r="B353">
        <v>1</v>
      </c>
      <c r="C353">
        <v>248</v>
      </c>
      <c r="D353" t="s">
        <v>82</v>
      </c>
    </row>
    <row r="354" spans="1:4" x14ac:dyDescent="0.25">
      <c r="A354">
        <v>419</v>
      </c>
      <c r="B354">
        <v>1</v>
      </c>
      <c r="C354">
        <v>246</v>
      </c>
      <c r="D354" t="s">
        <v>82</v>
      </c>
    </row>
    <row r="355" spans="1:4" x14ac:dyDescent="0.25">
      <c r="A355">
        <v>912</v>
      </c>
      <c r="B355">
        <v>60</v>
      </c>
      <c r="C355">
        <v>246</v>
      </c>
      <c r="D355" t="s">
        <v>82</v>
      </c>
    </row>
    <row r="356" spans="1:4" x14ac:dyDescent="0.25">
      <c r="A356">
        <v>420</v>
      </c>
      <c r="B356">
        <v>1</v>
      </c>
      <c r="C356">
        <v>244</v>
      </c>
      <c r="D356" t="s">
        <v>82</v>
      </c>
    </row>
    <row r="357" spans="1:4" x14ac:dyDescent="0.25">
      <c r="A357">
        <v>421</v>
      </c>
      <c r="B357">
        <v>1</v>
      </c>
      <c r="C357">
        <v>243</v>
      </c>
      <c r="D357" t="s">
        <v>82</v>
      </c>
    </row>
    <row r="358" spans="1:4" x14ac:dyDescent="0.25">
      <c r="A358">
        <v>522</v>
      </c>
      <c r="B358">
        <v>60</v>
      </c>
      <c r="C358">
        <v>225</v>
      </c>
      <c r="D358" t="s">
        <v>82</v>
      </c>
    </row>
    <row r="359" spans="1:4" x14ac:dyDescent="0.25">
      <c r="A359">
        <v>521</v>
      </c>
      <c r="B359">
        <v>60</v>
      </c>
      <c r="C359">
        <v>224</v>
      </c>
      <c r="D359" t="s">
        <v>82</v>
      </c>
    </row>
    <row r="360" spans="1:4" x14ac:dyDescent="0.25">
      <c r="A360">
        <v>520</v>
      </c>
      <c r="B360">
        <v>60</v>
      </c>
      <c r="C360">
        <v>222</v>
      </c>
      <c r="D360" t="s">
        <v>82</v>
      </c>
    </row>
    <row r="361" spans="1:4" x14ac:dyDescent="0.25">
      <c r="A361">
        <v>519</v>
      </c>
      <c r="B361">
        <v>60</v>
      </c>
      <c r="C361">
        <v>220</v>
      </c>
      <c r="D361" t="s">
        <v>82</v>
      </c>
    </row>
    <row r="362" spans="1:4" x14ac:dyDescent="0.25">
      <c r="A362">
        <v>518</v>
      </c>
      <c r="B362">
        <v>60</v>
      </c>
      <c r="C362">
        <v>219</v>
      </c>
      <c r="D362" t="s">
        <v>82</v>
      </c>
    </row>
    <row r="363" spans="1:4" x14ac:dyDescent="0.25">
      <c r="A363">
        <v>517</v>
      </c>
      <c r="B363">
        <v>60</v>
      </c>
      <c r="C363">
        <v>217</v>
      </c>
      <c r="D363" t="s">
        <v>82</v>
      </c>
    </row>
    <row r="364" spans="1:4" x14ac:dyDescent="0.25">
      <c r="A364">
        <v>516</v>
      </c>
      <c r="B364">
        <v>60</v>
      </c>
      <c r="C364">
        <v>216</v>
      </c>
      <c r="D364" t="s">
        <v>82</v>
      </c>
    </row>
    <row r="365" spans="1:4" x14ac:dyDescent="0.25">
      <c r="A365">
        <v>515</v>
      </c>
      <c r="B365">
        <v>60</v>
      </c>
      <c r="C365">
        <v>214</v>
      </c>
      <c r="D365" t="s">
        <v>82</v>
      </c>
    </row>
    <row r="366" spans="1:4" x14ac:dyDescent="0.25">
      <c r="A366">
        <v>514</v>
      </c>
      <c r="B366">
        <v>60</v>
      </c>
      <c r="C366">
        <v>212</v>
      </c>
      <c r="D366" t="s">
        <v>82</v>
      </c>
    </row>
    <row r="367" spans="1:4" x14ac:dyDescent="0.25">
      <c r="A367">
        <v>908</v>
      </c>
      <c r="B367">
        <v>60</v>
      </c>
      <c r="C367">
        <v>195</v>
      </c>
      <c r="D367" t="s">
        <v>82</v>
      </c>
    </row>
    <row r="368" spans="1:4" x14ac:dyDescent="0.25">
      <c r="A368">
        <v>915</v>
      </c>
      <c r="B368">
        <v>60</v>
      </c>
      <c r="C368">
        <v>158</v>
      </c>
      <c r="D368" t="s">
        <v>82</v>
      </c>
    </row>
    <row r="369" spans="1:4" x14ac:dyDescent="0.25">
      <c r="A369">
        <v>913</v>
      </c>
      <c r="B369">
        <v>60</v>
      </c>
      <c r="C369">
        <v>153</v>
      </c>
      <c r="D369" t="s">
        <v>82</v>
      </c>
    </row>
    <row r="370" spans="1:4" x14ac:dyDescent="0.25">
      <c r="A370">
        <v>909</v>
      </c>
      <c r="B370">
        <v>60</v>
      </c>
      <c r="C370">
        <v>120</v>
      </c>
      <c r="D370" t="s">
        <v>82</v>
      </c>
    </row>
    <row r="371" spans="1:4" x14ac:dyDescent="0.25">
      <c r="A371">
        <v>910</v>
      </c>
      <c r="B371">
        <v>60</v>
      </c>
      <c r="C371">
        <v>96</v>
      </c>
      <c r="D371" t="s">
        <v>82</v>
      </c>
    </row>
    <row r="372" spans="1:4" x14ac:dyDescent="0.25">
      <c r="A372">
        <v>461</v>
      </c>
      <c r="B372">
        <v>1</v>
      </c>
      <c r="C372">
        <v>627</v>
      </c>
      <c r="D372" t="s">
        <v>555</v>
      </c>
    </row>
    <row r="373" spans="1:4" x14ac:dyDescent="0.25">
      <c r="A373">
        <v>417</v>
      </c>
      <c r="B373">
        <v>6</v>
      </c>
      <c r="C373">
        <v>627</v>
      </c>
      <c r="D373" t="s">
        <v>555</v>
      </c>
    </row>
    <row r="374" spans="1:4" x14ac:dyDescent="0.25">
      <c r="A374">
        <v>413</v>
      </c>
      <c r="B374">
        <v>6</v>
      </c>
      <c r="C374">
        <v>603</v>
      </c>
      <c r="D374" t="s">
        <v>555</v>
      </c>
    </row>
    <row r="375" spans="1:4" x14ac:dyDescent="0.25">
      <c r="A375">
        <v>407</v>
      </c>
      <c r="B375">
        <v>6</v>
      </c>
      <c r="C375">
        <v>587</v>
      </c>
      <c r="D375" t="s">
        <v>555</v>
      </c>
    </row>
    <row r="376" spans="1:4" x14ac:dyDescent="0.25">
      <c r="A376">
        <v>326</v>
      </c>
      <c r="B376">
        <v>6</v>
      </c>
      <c r="C376">
        <v>587</v>
      </c>
      <c r="D376" t="s">
        <v>555</v>
      </c>
    </row>
    <row r="377" spans="1:4" x14ac:dyDescent="0.25">
      <c r="A377">
        <v>411</v>
      </c>
      <c r="B377">
        <v>6</v>
      </c>
      <c r="C377">
        <v>552</v>
      </c>
      <c r="D377" t="s">
        <v>555</v>
      </c>
    </row>
    <row r="378" spans="1:4" x14ac:dyDescent="0.25">
      <c r="A378">
        <v>325</v>
      </c>
      <c r="B378">
        <v>6</v>
      </c>
      <c r="C378">
        <v>540</v>
      </c>
      <c r="D378" t="s">
        <v>555</v>
      </c>
    </row>
    <row r="379" spans="1:4" x14ac:dyDescent="0.25">
      <c r="A379">
        <v>440</v>
      </c>
      <c r="B379">
        <v>6</v>
      </c>
      <c r="C379">
        <v>534</v>
      </c>
      <c r="D379" t="s">
        <v>555</v>
      </c>
    </row>
    <row r="380" spans="1:4" x14ac:dyDescent="0.25">
      <c r="A380">
        <v>439</v>
      </c>
      <c r="B380">
        <v>6</v>
      </c>
      <c r="C380">
        <v>531</v>
      </c>
      <c r="D380" t="s">
        <v>555</v>
      </c>
    </row>
    <row r="381" spans="1:4" x14ac:dyDescent="0.25">
      <c r="A381">
        <v>441</v>
      </c>
      <c r="B381">
        <v>6</v>
      </c>
      <c r="C381">
        <v>529</v>
      </c>
      <c r="D381" t="s">
        <v>555</v>
      </c>
    </row>
    <row r="382" spans="1:4" x14ac:dyDescent="0.25">
      <c r="A382">
        <v>438</v>
      </c>
      <c r="B382">
        <v>6</v>
      </c>
      <c r="C382">
        <v>528</v>
      </c>
      <c r="D382" t="s">
        <v>555</v>
      </c>
    </row>
    <row r="383" spans="1:4" x14ac:dyDescent="0.25">
      <c r="A383">
        <v>437</v>
      </c>
      <c r="B383">
        <v>6</v>
      </c>
      <c r="C383">
        <v>524</v>
      </c>
      <c r="D383" t="s">
        <v>555</v>
      </c>
    </row>
    <row r="384" spans="1:4" x14ac:dyDescent="0.25">
      <c r="A384">
        <v>442</v>
      </c>
      <c r="B384">
        <v>6</v>
      </c>
      <c r="C384">
        <v>524</v>
      </c>
      <c r="D384" t="s">
        <v>555</v>
      </c>
    </row>
    <row r="385" spans="1:4" x14ac:dyDescent="0.25">
      <c r="A385">
        <v>436</v>
      </c>
      <c r="B385">
        <v>6</v>
      </c>
      <c r="C385">
        <v>521</v>
      </c>
      <c r="D385" t="s">
        <v>555</v>
      </c>
    </row>
    <row r="386" spans="1:4" x14ac:dyDescent="0.25">
      <c r="A386">
        <v>443</v>
      </c>
      <c r="B386">
        <v>6</v>
      </c>
      <c r="C386">
        <v>520</v>
      </c>
      <c r="D386" t="s">
        <v>555</v>
      </c>
    </row>
    <row r="387" spans="1:4" x14ac:dyDescent="0.25">
      <c r="A387">
        <v>460</v>
      </c>
      <c r="B387">
        <v>6</v>
      </c>
      <c r="C387">
        <v>518</v>
      </c>
      <c r="D387" t="s">
        <v>555</v>
      </c>
    </row>
    <row r="388" spans="1:4" x14ac:dyDescent="0.25">
      <c r="A388">
        <v>435</v>
      </c>
      <c r="B388">
        <v>6</v>
      </c>
      <c r="C388">
        <v>518</v>
      </c>
      <c r="D388" t="s">
        <v>555</v>
      </c>
    </row>
    <row r="389" spans="1:4" x14ac:dyDescent="0.25">
      <c r="A389">
        <v>434</v>
      </c>
      <c r="B389">
        <v>6</v>
      </c>
      <c r="C389">
        <v>515</v>
      </c>
      <c r="D389" t="s">
        <v>555</v>
      </c>
    </row>
    <row r="390" spans="1:4" x14ac:dyDescent="0.25">
      <c r="A390">
        <v>422</v>
      </c>
      <c r="B390">
        <v>6</v>
      </c>
      <c r="C390">
        <v>515</v>
      </c>
      <c r="D390" t="s">
        <v>555</v>
      </c>
    </row>
    <row r="391" spans="1:4" x14ac:dyDescent="0.25">
      <c r="A391">
        <v>459</v>
      </c>
      <c r="B391">
        <v>6</v>
      </c>
      <c r="C391">
        <v>515</v>
      </c>
      <c r="D391" t="s">
        <v>555</v>
      </c>
    </row>
    <row r="392" spans="1:4" x14ac:dyDescent="0.25">
      <c r="A392">
        <v>444</v>
      </c>
      <c r="B392">
        <v>6</v>
      </c>
      <c r="C392">
        <v>515</v>
      </c>
      <c r="D392" t="s">
        <v>555</v>
      </c>
    </row>
    <row r="393" spans="1:4" x14ac:dyDescent="0.25">
      <c r="A393">
        <v>423</v>
      </c>
      <c r="B393">
        <v>6</v>
      </c>
      <c r="C393">
        <v>513</v>
      </c>
      <c r="D393" t="s">
        <v>555</v>
      </c>
    </row>
    <row r="394" spans="1:4" x14ac:dyDescent="0.25">
      <c r="A394">
        <v>424</v>
      </c>
      <c r="B394">
        <v>6</v>
      </c>
      <c r="C394">
        <v>512</v>
      </c>
      <c r="D394" t="s">
        <v>555</v>
      </c>
    </row>
    <row r="395" spans="1:4" x14ac:dyDescent="0.25">
      <c r="A395">
        <v>433</v>
      </c>
      <c r="B395">
        <v>6</v>
      </c>
      <c r="C395">
        <v>512</v>
      </c>
      <c r="D395" t="s">
        <v>555</v>
      </c>
    </row>
    <row r="396" spans="1:4" x14ac:dyDescent="0.25">
      <c r="A396">
        <v>458</v>
      </c>
      <c r="B396">
        <v>6</v>
      </c>
      <c r="C396">
        <v>512</v>
      </c>
      <c r="D396" t="s">
        <v>555</v>
      </c>
    </row>
    <row r="397" spans="1:4" x14ac:dyDescent="0.25">
      <c r="A397">
        <v>445</v>
      </c>
      <c r="B397">
        <v>6</v>
      </c>
      <c r="C397">
        <v>510</v>
      </c>
      <c r="D397" t="s">
        <v>555</v>
      </c>
    </row>
    <row r="398" spans="1:4" x14ac:dyDescent="0.25">
      <c r="A398">
        <v>425</v>
      </c>
      <c r="B398">
        <v>6</v>
      </c>
      <c r="C398">
        <v>510</v>
      </c>
      <c r="D398" t="s">
        <v>555</v>
      </c>
    </row>
    <row r="399" spans="1:4" x14ac:dyDescent="0.25">
      <c r="A399">
        <v>426</v>
      </c>
      <c r="B399">
        <v>6</v>
      </c>
      <c r="C399">
        <v>508</v>
      </c>
      <c r="D399" t="s">
        <v>555</v>
      </c>
    </row>
    <row r="400" spans="1:4" x14ac:dyDescent="0.25">
      <c r="A400">
        <v>432</v>
      </c>
      <c r="B400">
        <v>6</v>
      </c>
      <c r="C400">
        <v>508</v>
      </c>
      <c r="D400" t="s">
        <v>555</v>
      </c>
    </row>
    <row r="401" spans="1:4" x14ac:dyDescent="0.25">
      <c r="A401">
        <v>457</v>
      </c>
      <c r="B401">
        <v>6</v>
      </c>
      <c r="C401">
        <v>508</v>
      </c>
      <c r="D401" t="s">
        <v>555</v>
      </c>
    </row>
    <row r="402" spans="1:4" x14ac:dyDescent="0.25">
      <c r="A402">
        <v>427</v>
      </c>
      <c r="B402">
        <v>6</v>
      </c>
      <c r="C402">
        <v>507</v>
      </c>
      <c r="D402" t="s">
        <v>555</v>
      </c>
    </row>
    <row r="403" spans="1:4" x14ac:dyDescent="0.25">
      <c r="A403">
        <v>468</v>
      </c>
      <c r="B403">
        <v>1</v>
      </c>
      <c r="C403">
        <v>507</v>
      </c>
      <c r="D403" t="s">
        <v>555</v>
      </c>
    </row>
    <row r="404" spans="1:4" x14ac:dyDescent="0.25">
      <c r="A404">
        <v>467</v>
      </c>
      <c r="B404">
        <v>1</v>
      </c>
      <c r="C404">
        <v>505</v>
      </c>
      <c r="D404" t="s">
        <v>555</v>
      </c>
    </row>
    <row r="405" spans="1:4" x14ac:dyDescent="0.25">
      <c r="A405">
        <v>428</v>
      </c>
      <c r="B405">
        <v>6</v>
      </c>
      <c r="C405">
        <v>505</v>
      </c>
      <c r="D405" t="s">
        <v>555</v>
      </c>
    </row>
    <row r="406" spans="1:4" x14ac:dyDescent="0.25">
      <c r="A406">
        <v>431</v>
      </c>
      <c r="B406">
        <v>6</v>
      </c>
      <c r="C406">
        <v>505</v>
      </c>
      <c r="D406" t="s">
        <v>555</v>
      </c>
    </row>
    <row r="407" spans="1:4" x14ac:dyDescent="0.25">
      <c r="A407">
        <v>456</v>
      </c>
      <c r="B407">
        <v>6</v>
      </c>
      <c r="C407">
        <v>505</v>
      </c>
      <c r="D407" t="s">
        <v>555</v>
      </c>
    </row>
    <row r="408" spans="1:4" x14ac:dyDescent="0.25">
      <c r="A408">
        <v>446</v>
      </c>
      <c r="B408">
        <v>6</v>
      </c>
      <c r="C408">
        <v>505</v>
      </c>
      <c r="D408" t="s">
        <v>555</v>
      </c>
    </row>
    <row r="409" spans="1:4" x14ac:dyDescent="0.25">
      <c r="A409">
        <v>429</v>
      </c>
      <c r="B409">
        <v>6</v>
      </c>
      <c r="C409">
        <v>504</v>
      </c>
      <c r="D409" t="s">
        <v>555</v>
      </c>
    </row>
    <row r="410" spans="1:4" x14ac:dyDescent="0.25">
      <c r="A410">
        <v>466</v>
      </c>
      <c r="B410">
        <v>1</v>
      </c>
      <c r="C410">
        <v>504</v>
      </c>
      <c r="D410" t="s">
        <v>555</v>
      </c>
    </row>
    <row r="411" spans="1:4" x14ac:dyDescent="0.25">
      <c r="A411">
        <v>465</v>
      </c>
      <c r="B411">
        <v>1</v>
      </c>
      <c r="C411">
        <v>502</v>
      </c>
      <c r="D411" t="s">
        <v>555</v>
      </c>
    </row>
    <row r="412" spans="1:4" x14ac:dyDescent="0.25">
      <c r="A412">
        <v>430</v>
      </c>
      <c r="B412">
        <v>6</v>
      </c>
      <c r="C412">
        <v>502</v>
      </c>
      <c r="D412" t="s">
        <v>555</v>
      </c>
    </row>
    <row r="413" spans="1:4" x14ac:dyDescent="0.25">
      <c r="A413">
        <v>455</v>
      </c>
      <c r="B413">
        <v>6</v>
      </c>
      <c r="C413">
        <v>502</v>
      </c>
      <c r="D413" t="s">
        <v>555</v>
      </c>
    </row>
    <row r="414" spans="1:4" x14ac:dyDescent="0.25">
      <c r="A414">
        <v>447</v>
      </c>
      <c r="B414">
        <v>6</v>
      </c>
      <c r="C414">
        <v>500</v>
      </c>
      <c r="D414" t="s">
        <v>555</v>
      </c>
    </row>
    <row r="415" spans="1:4" x14ac:dyDescent="0.25">
      <c r="A415">
        <v>464</v>
      </c>
      <c r="B415">
        <v>1</v>
      </c>
      <c r="C415">
        <v>500</v>
      </c>
      <c r="D415" t="s">
        <v>555</v>
      </c>
    </row>
    <row r="416" spans="1:4" x14ac:dyDescent="0.25">
      <c r="A416">
        <v>463</v>
      </c>
      <c r="B416">
        <v>1</v>
      </c>
      <c r="C416">
        <v>499</v>
      </c>
      <c r="D416" t="s">
        <v>555</v>
      </c>
    </row>
    <row r="417" spans="1:4" x14ac:dyDescent="0.25">
      <c r="A417">
        <v>454</v>
      </c>
      <c r="B417">
        <v>6</v>
      </c>
      <c r="C417">
        <v>499</v>
      </c>
      <c r="D417" t="s">
        <v>555</v>
      </c>
    </row>
    <row r="418" spans="1:4" x14ac:dyDescent="0.25">
      <c r="A418">
        <v>453</v>
      </c>
      <c r="B418">
        <v>6</v>
      </c>
      <c r="C418">
        <v>496</v>
      </c>
      <c r="D418" t="s">
        <v>555</v>
      </c>
    </row>
    <row r="419" spans="1:4" x14ac:dyDescent="0.25">
      <c r="A419">
        <v>448</v>
      </c>
      <c r="B419">
        <v>6</v>
      </c>
      <c r="C419">
        <v>496</v>
      </c>
      <c r="D419" t="s">
        <v>555</v>
      </c>
    </row>
    <row r="420" spans="1:4" x14ac:dyDescent="0.25">
      <c r="A420">
        <v>452</v>
      </c>
      <c r="B420">
        <v>6</v>
      </c>
      <c r="C420">
        <v>492</v>
      </c>
      <c r="D420" t="s">
        <v>555</v>
      </c>
    </row>
    <row r="421" spans="1:4" x14ac:dyDescent="0.25">
      <c r="A421">
        <v>449</v>
      </c>
      <c r="B421">
        <v>6</v>
      </c>
      <c r="C421">
        <v>491</v>
      </c>
      <c r="D421" t="s">
        <v>555</v>
      </c>
    </row>
    <row r="422" spans="1:4" x14ac:dyDescent="0.25">
      <c r="A422">
        <v>451</v>
      </c>
      <c r="B422">
        <v>6</v>
      </c>
      <c r="C422">
        <v>489</v>
      </c>
      <c r="D422" t="s">
        <v>555</v>
      </c>
    </row>
    <row r="423" spans="1:4" x14ac:dyDescent="0.25">
      <c r="A423">
        <v>450</v>
      </c>
      <c r="B423">
        <v>6</v>
      </c>
      <c r="C423">
        <v>486</v>
      </c>
      <c r="D423" t="s">
        <v>555</v>
      </c>
    </row>
    <row r="424" spans="1:4" x14ac:dyDescent="0.25">
      <c r="A424">
        <v>341</v>
      </c>
      <c r="B424">
        <v>50</v>
      </c>
      <c r="C424">
        <v>392</v>
      </c>
      <c r="D424" t="s">
        <v>555</v>
      </c>
    </row>
    <row r="425" spans="1:4" x14ac:dyDescent="0.25">
      <c r="A425">
        <v>342</v>
      </c>
      <c r="B425">
        <v>50</v>
      </c>
      <c r="C425">
        <v>388</v>
      </c>
      <c r="D425" t="s">
        <v>555</v>
      </c>
    </row>
    <row r="426" spans="1:4" x14ac:dyDescent="0.25">
      <c r="A426">
        <v>344</v>
      </c>
      <c r="B426">
        <v>60</v>
      </c>
      <c r="C426">
        <v>382</v>
      </c>
      <c r="D426" t="s">
        <v>555</v>
      </c>
    </row>
    <row r="427" spans="1:4" x14ac:dyDescent="0.25">
      <c r="A427">
        <v>402</v>
      </c>
      <c r="B427">
        <v>6</v>
      </c>
      <c r="C427">
        <v>353</v>
      </c>
      <c r="D427" t="s">
        <v>555</v>
      </c>
    </row>
    <row r="428" spans="1:4" x14ac:dyDescent="0.25">
      <c r="A428">
        <v>912</v>
      </c>
      <c r="B428">
        <v>50</v>
      </c>
      <c r="C428">
        <v>353</v>
      </c>
      <c r="D428" t="s">
        <v>555</v>
      </c>
    </row>
    <row r="429" spans="1:4" x14ac:dyDescent="0.25">
      <c r="A429">
        <v>403</v>
      </c>
      <c r="B429">
        <v>6</v>
      </c>
      <c r="C429">
        <v>350</v>
      </c>
      <c r="D429" t="s">
        <v>555</v>
      </c>
    </row>
    <row r="430" spans="1:4" x14ac:dyDescent="0.25">
      <c r="A430">
        <v>404</v>
      </c>
      <c r="B430">
        <v>6</v>
      </c>
      <c r="C430">
        <v>347</v>
      </c>
      <c r="D430" t="s">
        <v>555</v>
      </c>
    </row>
    <row r="431" spans="1:4" x14ac:dyDescent="0.25">
      <c r="A431">
        <v>405</v>
      </c>
      <c r="B431">
        <v>6</v>
      </c>
      <c r="C431">
        <v>344</v>
      </c>
      <c r="D431" t="s">
        <v>555</v>
      </c>
    </row>
    <row r="432" spans="1:4" x14ac:dyDescent="0.25">
      <c r="A432">
        <v>408</v>
      </c>
      <c r="B432">
        <v>6</v>
      </c>
      <c r="C432">
        <v>344</v>
      </c>
      <c r="D432" t="s">
        <v>555</v>
      </c>
    </row>
    <row r="433" spans="1:4" x14ac:dyDescent="0.25">
      <c r="A433">
        <v>409</v>
      </c>
      <c r="B433">
        <v>6</v>
      </c>
      <c r="C433">
        <v>340</v>
      </c>
      <c r="D433" t="s">
        <v>555</v>
      </c>
    </row>
    <row r="434" spans="1:4" x14ac:dyDescent="0.25">
      <c r="A434">
        <v>406</v>
      </c>
      <c r="B434">
        <v>6</v>
      </c>
      <c r="C434">
        <v>340</v>
      </c>
      <c r="D434" t="s">
        <v>555</v>
      </c>
    </row>
    <row r="435" spans="1:4" x14ac:dyDescent="0.25">
      <c r="A435">
        <v>410</v>
      </c>
      <c r="B435">
        <v>6</v>
      </c>
      <c r="C435">
        <v>337</v>
      </c>
      <c r="D435" t="s">
        <v>555</v>
      </c>
    </row>
    <row r="436" spans="1:4" x14ac:dyDescent="0.25">
      <c r="A436">
        <v>342</v>
      </c>
      <c r="B436">
        <v>60</v>
      </c>
      <c r="C436">
        <v>336</v>
      </c>
      <c r="D436" t="s">
        <v>555</v>
      </c>
    </row>
    <row r="437" spans="1:4" x14ac:dyDescent="0.25">
      <c r="A437">
        <v>344</v>
      </c>
      <c r="B437">
        <v>50</v>
      </c>
      <c r="C437">
        <v>332</v>
      </c>
      <c r="D437" t="s">
        <v>555</v>
      </c>
    </row>
    <row r="438" spans="1:4" x14ac:dyDescent="0.25">
      <c r="A438">
        <v>347</v>
      </c>
      <c r="B438">
        <v>60</v>
      </c>
      <c r="C438">
        <v>332</v>
      </c>
      <c r="D438" t="s">
        <v>555</v>
      </c>
    </row>
    <row r="439" spans="1:4" x14ac:dyDescent="0.25">
      <c r="A439">
        <v>522</v>
      </c>
      <c r="B439">
        <v>50</v>
      </c>
      <c r="C439">
        <v>331</v>
      </c>
      <c r="D439" t="s">
        <v>555</v>
      </c>
    </row>
    <row r="440" spans="1:4" x14ac:dyDescent="0.25">
      <c r="A440">
        <v>521</v>
      </c>
      <c r="B440">
        <v>50</v>
      </c>
      <c r="C440">
        <v>329</v>
      </c>
      <c r="D440" t="s">
        <v>555</v>
      </c>
    </row>
    <row r="441" spans="1:4" x14ac:dyDescent="0.25">
      <c r="A441">
        <v>520</v>
      </c>
      <c r="B441">
        <v>50</v>
      </c>
      <c r="C441">
        <v>328</v>
      </c>
      <c r="D441" t="s">
        <v>555</v>
      </c>
    </row>
    <row r="442" spans="1:4" x14ac:dyDescent="0.25">
      <c r="A442">
        <v>519</v>
      </c>
      <c r="B442">
        <v>50</v>
      </c>
      <c r="C442">
        <v>326</v>
      </c>
      <c r="D442" t="s">
        <v>555</v>
      </c>
    </row>
    <row r="443" spans="1:4" x14ac:dyDescent="0.25">
      <c r="A443">
        <v>518</v>
      </c>
      <c r="B443">
        <v>50</v>
      </c>
      <c r="C443">
        <v>324</v>
      </c>
      <c r="D443" t="s">
        <v>555</v>
      </c>
    </row>
    <row r="444" spans="1:4" x14ac:dyDescent="0.25">
      <c r="A444">
        <v>517</v>
      </c>
      <c r="B444">
        <v>50</v>
      </c>
      <c r="C444">
        <v>323</v>
      </c>
      <c r="D444" t="s">
        <v>555</v>
      </c>
    </row>
    <row r="445" spans="1:4" x14ac:dyDescent="0.25">
      <c r="A445">
        <v>516</v>
      </c>
      <c r="B445">
        <v>50</v>
      </c>
      <c r="C445">
        <v>321</v>
      </c>
      <c r="D445" t="s">
        <v>555</v>
      </c>
    </row>
    <row r="446" spans="1:4" x14ac:dyDescent="0.25">
      <c r="A446">
        <v>412</v>
      </c>
      <c r="B446">
        <v>6</v>
      </c>
      <c r="C446">
        <v>321</v>
      </c>
      <c r="D446" t="s">
        <v>555</v>
      </c>
    </row>
    <row r="447" spans="1:4" x14ac:dyDescent="0.25">
      <c r="A447">
        <v>414</v>
      </c>
      <c r="B447">
        <v>6</v>
      </c>
      <c r="C447">
        <v>321</v>
      </c>
      <c r="D447" t="s">
        <v>555</v>
      </c>
    </row>
    <row r="448" spans="1:4" x14ac:dyDescent="0.25">
      <c r="A448">
        <v>911</v>
      </c>
      <c r="B448">
        <v>50</v>
      </c>
      <c r="C448">
        <v>321</v>
      </c>
      <c r="D448" t="s">
        <v>555</v>
      </c>
    </row>
    <row r="449" spans="1:4" x14ac:dyDescent="0.25">
      <c r="A449">
        <v>515</v>
      </c>
      <c r="B449">
        <v>50</v>
      </c>
      <c r="C449">
        <v>320</v>
      </c>
      <c r="D449" t="s">
        <v>555</v>
      </c>
    </row>
    <row r="450" spans="1:4" x14ac:dyDescent="0.25">
      <c r="A450">
        <v>514</v>
      </c>
      <c r="B450">
        <v>50</v>
      </c>
      <c r="C450">
        <v>318</v>
      </c>
      <c r="D450" t="s">
        <v>555</v>
      </c>
    </row>
    <row r="451" spans="1:4" x14ac:dyDescent="0.25">
      <c r="A451">
        <v>415</v>
      </c>
      <c r="B451">
        <v>6</v>
      </c>
      <c r="C451">
        <v>316</v>
      </c>
      <c r="D451" t="s">
        <v>555</v>
      </c>
    </row>
    <row r="452" spans="1:4" x14ac:dyDescent="0.25">
      <c r="A452">
        <v>345</v>
      </c>
      <c r="B452">
        <v>50</v>
      </c>
      <c r="C452">
        <v>315</v>
      </c>
      <c r="D452" t="s">
        <v>555</v>
      </c>
    </row>
    <row r="453" spans="1:4" x14ac:dyDescent="0.25">
      <c r="A453">
        <v>416</v>
      </c>
      <c r="B453">
        <v>6</v>
      </c>
      <c r="C453">
        <v>312</v>
      </c>
      <c r="D453" t="s">
        <v>555</v>
      </c>
    </row>
    <row r="454" spans="1:4" x14ac:dyDescent="0.25">
      <c r="A454">
        <v>462</v>
      </c>
      <c r="B454">
        <v>1</v>
      </c>
      <c r="C454">
        <v>310</v>
      </c>
      <c r="D454" t="s">
        <v>555</v>
      </c>
    </row>
    <row r="455" spans="1:4" x14ac:dyDescent="0.25">
      <c r="A455">
        <v>916</v>
      </c>
      <c r="B455">
        <v>50</v>
      </c>
      <c r="C455">
        <v>288</v>
      </c>
      <c r="D455" t="s">
        <v>555</v>
      </c>
    </row>
    <row r="456" spans="1:4" x14ac:dyDescent="0.25">
      <c r="A456">
        <v>418</v>
      </c>
      <c r="B456">
        <v>6</v>
      </c>
      <c r="C456">
        <v>283</v>
      </c>
      <c r="D456" t="s">
        <v>555</v>
      </c>
    </row>
    <row r="457" spans="1:4" x14ac:dyDescent="0.25">
      <c r="A457">
        <v>419</v>
      </c>
      <c r="B457">
        <v>6</v>
      </c>
      <c r="C457">
        <v>281</v>
      </c>
      <c r="D457" t="s">
        <v>555</v>
      </c>
    </row>
    <row r="458" spans="1:4" x14ac:dyDescent="0.25">
      <c r="A458">
        <v>420</v>
      </c>
      <c r="B458">
        <v>6</v>
      </c>
      <c r="C458">
        <v>280</v>
      </c>
      <c r="D458" t="s">
        <v>555</v>
      </c>
    </row>
    <row r="459" spans="1:4" x14ac:dyDescent="0.25">
      <c r="A459">
        <v>421</v>
      </c>
      <c r="B459">
        <v>6</v>
      </c>
      <c r="C459">
        <v>278</v>
      </c>
      <c r="D459" t="s">
        <v>555</v>
      </c>
    </row>
    <row r="460" spans="1:4" x14ac:dyDescent="0.25">
      <c r="A460">
        <v>349</v>
      </c>
      <c r="B460">
        <v>50</v>
      </c>
      <c r="C460">
        <v>256</v>
      </c>
      <c r="D460" t="s">
        <v>555</v>
      </c>
    </row>
    <row r="461" spans="1:4" x14ac:dyDescent="0.25">
      <c r="A461">
        <v>347</v>
      </c>
      <c r="B461">
        <v>50</v>
      </c>
      <c r="C461">
        <v>246</v>
      </c>
      <c r="D461" t="s">
        <v>555</v>
      </c>
    </row>
    <row r="462" spans="1:4" x14ac:dyDescent="0.25">
      <c r="A462">
        <v>908</v>
      </c>
      <c r="B462">
        <v>50</v>
      </c>
      <c r="C462">
        <v>214</v>
      </c>
      <c r="D462" t="s">
        <v>555</v>
      </c>
    </row>
    <row r="463" spans="1:4" x14ac:dyDescent="0.25">
      <c r="A463">
        <v>914</v>
      </c>
      <c r="B463">
        <v>50</v>
      </c>
      <c r="C463">
        <v>171</v>
      </c>
      <c r="D463" t="s">
        <v>555</v>
      </c>
    </row>
    <row r="464" spans="1:4" x14ac:dyDescent="0.25">
      <c r="A464">
        <v>910</v>
      </c>
      <c r="B464">
        <v>50</v>
      </c>
      <c r="C464">
        <v>168</v>
      </c>
      <c r="D464" t="s">
        <v>555</v>
      </c>
    </row>
    <row r="465" spans="1:4" x14ac:dyDescent="0.25">
      <c r="A465">
        <v>913</v>
      </c>
      <c r="B465">
        <v>50</v>
      </c>
      <c r="C465">
        <v>145</v>
      </c>
      <c r="D465" t="s">
        <v>555</v>
      </c>
    </row>
    <row r="466" spans="1:4" x14ac:dyDescent="0.25">
      <c r="A466">
        <v>915</v>
      </c>
      <c r="B466">
        <v>50</v>
      </c>
      <c r="C466">
        <v>83</v>
      </c>
      <c r="D466" t="s">
        <v>555</v>
      </c>
    </row>
    <row r="467" spans="1:4" x14ac:dyDescent="0.25">
      <c r="A467">
        <v>909</v>
      </c>
      <c r="B467">
        <v>50</v>
      </c>
      <c r="C467">
        <v>72</v>
      </c>
      <c r="D467" t="s">
        <v>555</v>
      </c>
    </row>
    <row r="468" spans="1:4" x14ac:dyDescent="0.25">
      <c r="A468">
        <v>460</v>
      </c>
      <c r="B468">
        <v>1</v>
      </c>
      <c r="C468">
        <v>624</v>
      </c>
      <c r="D468" t="s">
        <v>556</v>
      </c>
    </row>
    <row r="469" spans="1:4" x14ac:dyDescent="0.25">
      <c r="A469">
        <v>326</v>
      </c>
      <c r="B469">
        <v>1</v>
      </c>
      <c r="C469">
        <v>622</v>
      </c>
      <c r="D469" t="s">
        <v>556</v>
      </c>
    </row>
    <row r="470" spans="1:4" x14ac:dyDescent="0.25">
      <c r="A470">
        <v>459</v>
      </c>
      <c r="B470">
        <v>1</v>
      </c>
      <c r="C470">
        <v>620</v>
      </c>
      <c r="D470" t="s">
        <v>556</v>
      </c>
    </row>
    <row r="471" spans="1:4" x14ac:dyDescent="0.25">
      <c r="A471">
        <v>458</v>
      </c>
      <c r="B471">
        <v>1</v>
      </c>
      <c r="C471">
        <v>617</v>
      </c>
      <c r="D471" t="s">
        <v>556</v>
      </c>
    </row>
    <row r="472" spans="1:4" x14ac:dyDescent="0.25">
      <c r="A472">
        <v>445</v>
      </c>
      <c r="B472">
        <v>1</v>
      </c>
      <c r="C472">
        <v>616</v>
      </c>
      <c r="D472" t="s">
        <v>556</v>
      </c>
    </row>
    <row r="473" spans="1:4" x14ac:dyDescent="0.25">
      <c r="A473">
        <v>457</v>
      </c>
      <c r="B473">
        <v>1</v>
      </c>
      <c r="C473">
        <v>614</v>
      </c>
      <c r="D473" t="s">
        <v>556</v>
      </c>
    </row>
    <row r="474" spans="1:4" x14ac:dyDescent="0.25">
      <c r="A474">
        <v>456</v>
      </c>
      <c r="B474">
        <v>1</v>
      </c>
      <c r="C474">
        <v>611</v>
      </c>
      <c r="D474" t="s">
        <v>556</v>
      </c>
    </row>
    <row r="475" spans="1:4" x14ac:dyDescent="0.25">
      <c r="A475">
        <v>446</v>
      </c>
      <c r="B475">
        <v>1</v>
      </c>
      <c r="C475">
        <v>611</v>
      </c>
      <c r="D475" t="s">
        <v>556</v>
      </c>
    </row>
    <row r="476" spans="1:4" x14ac:dyDescent="0.25">
      <c r="A476">
        <v>455</v>
      </c>
      <c r="B476">
        <v>1</v>
      </c>
      <c r="C476">
        <v>608</v>
      </c>
      <c r="D476" t="s">
        <v>556</v>
      </c>
    </row>
    <row r="477" spans="1:4" x14ac:dyDescent="0.25">
      <c r="A477">
        <v>447</v>
      </c>
      <c r="B477">
        <v>1</v>
      </c>
      <c r="C477">
        <v>606</v>
      </c>
      <c r="D477" t="s">
        <v>556</v>
      </c>
    </row>
    <row r="478" spans="1:4" x14ac:dyDescent="0.25">
      <c r="A478">
        <v>454</v>
      </c>
      <c r="B478">
        <v>1</v>
      </c>
      <c r="C478">
        <v>604</v>
      </c>
      <c r="D478" t="s">
        <v>556</v>
      </c>
    </row>
    <row r="479" spans="1:4" x14ac:dyDescent="0.25">
      <c r="A479">
        <v>453</v>
      </c>
      <c r="B479">
        <v>1</v>
      </c>
      <c r="C479">
        <v>601</v>
      </c>
      <c r="D479" t="s">
        <v>556</v>
      </c>
    </row>
    <row r="480" spans="1:4" x14ac:dyDescent="0.25">
      <c r="A480">
        <v>448</v>
      </c>
      <c r="B480">
        <v>1</v>
      </c>
      <c r="C480">
        <v>601</v>
      </c>
      <c r="D480" t="s">
        <v>556</v>
      </c>
    </row>
    <row r="481" spans="1:4" x14ac:dyDescent="0.25">
      <c r="A481">
        <v>452</v>
      </c>
      <c r="B481">
        <v>1</v>
      </c>
      <c r="C481">
        <v>598</v>
      </c>
      <c r="D481" t="s">
        <v>556</v>
      </c>
    </row>
    <row r="482" spans="1:4" x14ac:dyDescent="0.25">
      <c r="A482">
        <v>449</v>
      </c>
      <c r="B482">
        <v>1</v>
      </c>
      <c r="C482">
        <v>596</v>
      </c>
      <c r="D482" t="s">
        <v>556</v>
      </c>
    </row>
    <row r="483" spans="1:4" x14ac:dyDescent="0.25">
      <c r="A483">
        <v>451</v>
      </c>
      <c r="B483">
        <v>1</v>
      </c>
      <c r="C483">
        <v>595</v>
      </c>
      <c r="D483" t="s">
        <v>556</v>
      </c>
    </row>
    <row r="484" spans="1:4" x14ac:dyDescent="0.25">
      <c r="A484">
        <v>450</v>
      </c>
      <c r="B484">
        <v>1</v>
      </c>
      <c r="C484">
        <v>592</v>
      </c>
      <c r="D484" t="s">
        <v>556</v>
      </c>
    </row>
    <row r="485" spans="1:4" x14ac:dyDescent="0.25">
      <c r="A485">
        <v>475</v>
      </c>
      <c r="B485">
        <v>6</v>
      </c>
      <c r="C485">
        <v>585</v>
      </c>
      <c r="D485" t="s">
        <v>556</v>
      </c>
    </row>
    <row r="486" spans="1:4" x14ac:dyDescent="0.25">
      <c r="A486">
        <v>474</v>
      </c>
      <c r="B486">
        <v>6</v>
      </c>
      <c r="C486">
        <v>584</v>
      </c>
      <c r="D486" t="s">
        <v>556</v>
      </c>
    </row>
    <row r="487" spans="1:4" x14ac:dyDescent="0.25">
      <c r="A487">
        <v>473</v>
      </c>
      <c r="B487">
        <v>6</v>
      </c>
      <c r="C487">
        <v>582</v>
      </c>
      <c r="D487" t="s">
        <v>556</v>
      </c>
    </row>
    <row r="488" spans="1:4" x14ac:dyDescent="0.25">
      <c r="A488">
        <v>472</v>
      </c>
      <c r="B488">
        <v>6</v>
      </c>
      <c r="C488">
        <v>580</v>
      </c>
      <c r="D488" t="s">
        <v>556</v>
      </c>
    </row>
    <row r="489" spans="1:4" x14ac:dyDescent="0.25">
      <c r="A489">
        <v>471</v>
      </c>
      <c r="B489">
        <v>6</v>
      </c>
      <c r="C489">
        <v>579</v>
      </c>
      <c r="D489" t="s">
        <v>556</v>
      </c>
    </row>
    <row r="490" spans="1:4" x14ac:dyDescent="0.25">
      <c r="A490">
        <v>470</v>
      </c>
      <c r="B490">
        <v>6</v>
      </c>
      <c r="C490">
        <v>577</v>
      </c>
      <c r="D490" t="s">
        <v>556</v>
      </c>
    </row>
    <row r="491" spans="1:4" x14ac:dyDescent="0.25">
      <c r="A491">
        <v>469</v>
      </c>
      <c r="B491">
        <v>6</v>
      </c>
      <c r="C491">
        <v>576</v>
      </c>
      <c r="D491" t="s">
        <v>556</v>
      </c>
    </row>
    <row r="492" spans="1:4" x14ac:dyDescent="0.25">
      <c r="A492">
        <v>468</v>
      </c>
      <c r="B492">
        <v>6</v>
      </c>
      <c r="C492">
        <v>574</v>
      </c>
      <c r="D492" t="s">
        <v>556</v>
      </c>
    </row>
    <row r="493" spans="1:4" x14ac:dyDescent="0.25">
      <c r="A493">
        <v>467</v>
      </c>
      <c r="B493">
        <v>6</v>
      </c>
      <c r="C493">
        <v>572</v>
      </c>
      <c r="D493" t="s">
        <v>556</v>
      </c>
    </row>
    <row r="494" spans="1:4" x14ac:dyDescent="0.25">
      <c r="A494">
        <v>466</v>
      </c>
      <c r="B494">
        <v>6</v>
      </c>
      <c r="C494">
        <v>571</v>
      </c>
      <c r="D494" t="s">
        <v>556</v>
      </c>
    </row>
    <row r="495" spans="1:4" x14ac:dyDescent="0.25">
      <c r="A495">
        <v>465</v>
      </c>
      <c r="B495">
        <v>6</v>
      </c>
      <c r="C495">
        <v>569</v>
      </c>
      <c r="D495" t="s">
        <v>556</v>
      </c>
    </row>
    <row r="496" spans="1:4" x14ac:dyDescent="0.25">
      <c r="A496">
        <v>325</v>
      </c>
      <c r="B496">
        <v>1</v>
      </c>
      <c r="C496">
        <v>569</v>
      </c>
      <c r="D496" t="s">
        <v>556</v>
      </c>
    </row>
    <row r="497" spans="1:4" x14ac:dyDescent="0.25">
      <c r="A497">
        <v>464</v>
      </c>
      <c r="B497">
        <v>6</v>
      </c>
      <c r="C497">
        <v>568</v>
      </c>
      <c r="D497" t="s">
        <v>556</v>
      </c>
    </row>
    <row r="498" spans="1:4" x14ac:dyDescent="0.25">
      <c r="A498">
        <v>463</v>
      </c>
      <c r="B498">
        <v>6</v>
      </c>
      <c r="C498">
        <v>566</v>
      </c>
      <c r="D498" t="s">
        <v>556</v>
      </c>
    </row>
    <row r="499" spans="1:4" x14ac:dyDescent="0.25">
      <c r="A499">
        <v>461</v>
      </c>
      <c r="B499">
        <v>6</v>
      </c>
      <c r="C499">
        <v>521</v>
      </c>
      <c r="D499" t="s">
        <v>556</v>
      </c>
    </row>
    <row r="500" spans="1:4" x14ac:dyDescent="0.25">
      <c r="A500">
        <v>355</v>
      </c>
      <c r="B500">
        <v>6</v>
      </c>
      <c r="C500">
        <v>257</v>
      </c>
      <c r="D500" t="s">
        <v>556</v>
      </c>
    </row>
    <row r="501" spans="1:4" x14ac:dyDescent="0.25">
      <c r="A501">
        <v>356</v>
      </c>
      <c r="B501">
        <v>6</v>
      </c>
      <c r="C501">
        <v>243</v>
      </c>
      <c r="D501" t="s">
        <v>556</v>
      </c>
    </row>
    <row r="502" spans="1:4" x14ac:dyDescent="0.25">
      <c r="A502">
        <v>357</v>
      </c>
      <c r="B502">
        <v>6</v>
      </c>
      <c r="C502">
        <v>228</v>
      </c>
      <c r="D502" t="s">
        <v>556</v>
      </c>
    </row>
    <row r="503" spans="1:4" x14ac:dyDescent="0.25">
      <c r="A503">
        <v>358</v>
      </c>
      <c r="B503">
        <v>6</v>
      </c>
      <c r="C503">
        <v>214</v>
      </c>
      <c r="D503" t="s">
        <v>556</v>
      </c>
    </row>
    <row r="504" spans="1:4" x14ac:dyDescent="0.25">
      <c r="A504">
        <v>462</v>
      </c>
      <c r="B504">
        <v>6</v>
      </c>
      <c r="C504">
        <v>204</v>
      </c>
      <c r="D504" t="s">
        <v>556</v>
      </c>
    </row>
    <row r="505" spans="1:4" x14ac:dyDescent="0.25">
      <c r="A505">
        <v>513</v>
      </c>
      <c r="B505">
        <v>50</v>
      </c>
      <c r="C505">
        <v>724</v>
      </c>
      <c r="D505" t="s">
        <v>557</v>
      </c>
    </row>
    <row r="506" spans="1:4" x14ac:dyDescent="0.25">
      <c r="A506">
        <v>350</v>
      </c>
      <c r="B506">
        <v>5</v>
      </c>
      <c r="C506">
        <v>622</v>
      </c>
      <c r="D506" t="s">
        <v>557</v>
      </c>
    </row>
    <row r="507" spans="1:4" x14ac:dyDescent="0.25">
      <c r="A507">
        <v>489</v>
      </c>
      <c r="B507">
        <v>1</v>
      </c>
      <c r="C507">
        <v>612</v>
      </c>
      <c r="D507" t="s">
        <v>557</v>
      </c>
    </row>
    <row r="508" spans="1:4" x14ac:dyDescent="0.25">
      <c r="A508">
        <v>490</v>
      </c>
      <c r="B508">
        <v>1</v>
      </c>
      <c r="C508">
        <v>593</v>
      </c>
      <c r="D508" t="s">
        <v>557</v>
      </c>
    </row>
    <row r="509" spans="1:4" x14ac:dyDescent="0.25">
      <c r="A509">
        <v>331</v>
      </c>
      <c r="B509">
        <v>5</v>
      </c>
      <c r="C509">
        <v>574</v>
      </c>
      <c r="D509" t="s">
        <v>557</v>
      </c>
    </row>
    <row r="510" spans="1:4" x14ac:dyDescent="0.25">
      <c r="A510">
        <v>509</v>
      </c>
      <c r="B510">
        <v>50</v>
      </c>
      <c r="C510">
        <v>558</v>
      </c>
      <c r="D510" t="s">
        <v>557</v>
      </c>
    </row>
    <row r="511" spans="1:4" x14ac:dyDescent="0.25">
      <c r="A511">
        <v>508</v>
      </c>
      <c r="B511">
        <v>50</v>
      </c>
      <c r="C511">
        <v>550</v>
      </c>
      <c r="D511" t="s">
        <v>557</v>
      </c>
    </row>
    <row r="512" spans="1:4" x14ac:dyDescent="0.25">
      <c r="A512">
        <v>507</v>
      </c>
      <c r="B512">
        <v>50</v>
      </c>
      <c r="C512">
        <v>542</v>
      </c>
      <c r="D512" t="s">
        <v>557</v>
      </c>
    </row>
    <row r="513" spans="1:4" x14ac:dyDescent="0.25">
      <c r="A513">
        <v>475</v>
      </c>
      <c r="B513">
        <v>1</v>
      </c>
      <c r="C513">
        <v>518</v>
      </c>
      <c r="D513" t="s">
        <v>557</v>
      </c>
    </row>
    <row r="514" spans="1:4" x14ac:dyDescent="0.25">
      <c r="A514">
        <v>474</v>
      </c>
      <c r="B514">
        <v>1</v>
      </c>
      <c r="C514">
        <v>516</v>
      </c>
      <c r="D514" t="s">
        <v>557</v>
      </c>
    </row>
    <row r="515" spans="1:4" x14ac:dyDescent="0.25">
      <c r="A515">
        <v>473</v>
      </c>
      <c r="B515">
        <v>1</v>
      </c>
      <c r="C515">
        <v>515</v>
      </c>
      <c r="D515" t="s">
        <v>557</v>
      </c>
    </row>
    <row r="516" spans="1:4" x14ac:dyDescent="0.25">
      <c r="A516">
        <v>472</v>
      </c>
      <c r="B516">
        <v>1</v>
      </c>
      <c r="C516">
        <v>513</v>
      </c>
      <c r="D516" t="s">
        <v>557</v>
      </c>
    </row>
    <row r="517" spans="1:4" x14ac:dyDescent="0.25">
      <c r="A517">
        <v>471</v>
      </c>
      <c r="B517">
        <v>1</v>
      </c>
      <c r="C517">
        <v>512</v>
      </c>
      <c r="D517" t="s">
        <v>557</v>
      </c>
    </row>
    <row r="518" spans="1:4" x14ac:dyDescent="0.25">
      <c r="A518">
        <v>470</v>
      </c>
      <c r="B518">
        <v>1</v>
      </c>
      <c r="C518">
        <v>510</v>
      </c>
      <c r="D518" t="s">
        <v>557</v>
      </c>
    </row>
    <row r="519" spans="1:4" x14ac:dyDescent="0.25">
      <c r="A519">
        <v>469</v>
      </c>
      <c r="B519">
        <v>1</v>
      </c>
      <c r="C519">
        <v>508</v>
      </c>
      <c r="D519" t="s">
        <v>557</v>
      </c>
    </row>
    <row r="520" spans="1:4" x14ac:dyDescent="0.25">
      <c r="A520">
        <v>804</v>
      </c>
      <c r="B520">
        <v>5</v>
      </c>
      <c r="C520">
        <v>363</v>
      </c>
      <c r="D520" t="s">
        <v>557</v>
      </c>
    </row>
    <row r="521" spans="1:4" x14ac:dyDescent="0.25">
      <c r="A521">
        <v>803</v>
      </c>
      <c r="B521">
        <v>5</v>
      </c>
      <c r="C521">
        <v>356</v>
      </c>
      <c r="D521" t="s">
        <v>557</v>
      </c>
    </row>
    <row r="522" spans="1:4" x14ac:dyDescent="0.25">
      <c r="A522">
        <v>802</v>
      </c>
      <c r="B522">
        <v>5</v>
      </c>
      <c r="C522">
        <v>350</v>
      </c>
      <c r="D522" t="s">
        <v>557</v>
      </c>
    </row>
    <row r="523" spans="1:4" x14ac:dyDescent="0.25">
      <c r="A523">
        <v>511</v>
      </c>
      <c r="B523">
        <v>50</v>
      </c>
      <c r="C523">
        <v>350</v>
      </c>
      <c r="D523" t="s">
        <v>557</v>
      </c>
    </row>
    <row r="524" spans="1:4" x14ac:dyDescent="0.25">
      <c r="A524">
        <v>948</v>
      </c>
      <c r="B524">
        <v>5</v>
      </c>
      <c r="C524">
        <v>347</v>
      </c>
      <c r="D524" t="s">
        <v>557</v>
      </c>
    </row>
    <row r="525" spans="1:4" x14ac:dyDescent="0.25">
      <c r="A525">
        <v>945</v>
      </c>
      <c r="B525">
        <v>5</v>
      </c>
      <c r="C525">
        <v>347</v>
      </c>
      <c r="D525" t="s">
        <v>557</v>
      </c>
    </row>
    <row r="526" spans="1:4" x14ac:dyDescent="0.25">
      <c r="A526">
        <v>332</v>
      </c>
      <c r="B526">
        <v>5</v>
      </c>
      <c r="C526">
        <v>344</v>
      </c>
      <c r="D526" t="s">
        <v>557</v>
      </c>
    </row>
    <row r="527" spans="1:4" x14ac:dyDescent="0.25">
      <c r="A527">
        <v>510</v>
      </c>
      <c r="B527">
        <v>50</v>
      </c>
      <c r="C527">
        <v>316</v>
      </c>
      <c r="D527" t="s">
        <v>557</v>
      </c>
    </row>
    <row r="528" spans="1:4" x14ac:dyDescent="0.25">
      <c r="A528">
        <v>352</v>
      </c>
      <c r="B528">
        <v>5</v>
      </c>
      <c r="C528">
        <v>300</v>
      </c>
      <c r="D528" t="s">
        <v>557</v>
      </c>
    </row>
    <row r="529" spans="1:4" x14ac:dyDescent="0.25">
      <c r="A529">
        <v>512</v>
      </c>
      <c r="B529">
        <v>50</v>
      </c>
      <c r="C529">
        <v>281</v>
      </c>
      <c r="D529" t="s">
        <v>557</v>
      </c>
    </row>
    <row r="530" spans="1:4" x14ac:dyDescent="0.25">
      <c r="A530">
        <v>491</v>
      </c>
      <c r="B530">
        <v>1</v>
      </c>
      <c r="C530">
        <v>254</v>
      </c>
      <c r="D530" t="s">
        <v>557</v>
      </c>
    </row>
    <row r="531" spans="1:4" x14ac:dyDescent="0.25">
      <c r="A531">
        <v>351</v>
      </c>
      <c r="B531">
        <v>5</v>
      </c>
      <c r="C531">
        <v>179</v>
      </c>
      <c r="D531" t="s">
        <v>557</v>
      </c>
    </row>
    <row r="532" spans="1:4" x14ac:dyDescent="0.25">
      <c r="A532">
        <v>475</v>
      </c>
      <c r="B532">
        <v>50</v>
      </c>
      <c r="C532">
        <v>640</v>
      </c>
      <c r="D532" t="s">
        <v>558</v>
      </c>
    </row>
    <row r="533" spans="1:4" x14ac:dyDescent="0.25">
      <c r="A533">
        <v>474</v>
      </c>
      <c r="B533">
        <v>50</v>
      </c>
      <c r="C533">
        <v>638</v>
      </c>
      <c r="D533" t="s">
        <v>558</v>
      </c>
    </row>
    <row r="534" spans="1:4" x14ac:dyDescent="0.25">
      <c r="A534">
        <v>473</v>
      </c>
      <c r="B534">
        <v>50</v>
      </c>
      <c r="C534">
        <v>636</v>
      </c>
      <c r="D534" t="s">
        <v>558</v>
      </c>
    </row>
    <row r="535" spans="1:4" x14ac:dyDescent="0.25">
      <c r="A535">
        <v>472</v>
      </c>
      <c r="B535">
        <v>50</v>
      </c>
      <c r="C535">
        <v>635</v>
      </c>
      <c r="D535" t="s">
        <v>558</v>
      </c>
    </row>
    <row r="536" spans="1:4" x14ac:dyDescent="0.25">
      <c r="A536">
        <v>471</v>
      </c>
      <c r="B536">
        <v>50</v>
      </c>
      <c r="C536">
        <v>633</v>
      </c>
      <c r="D536" t="s">
        <v>558</v>
      </c>
    </row>
    <row r="537" spans="1:4" x14ac:dyDescent="0.25">
      <c r="A537">
        <v>470</v>
      </c>
      <c r="B537">
        <v>50</v>
      </c>
      <c r="C537">
        <v>632</v>
      </c>
      <c r="D537" t="s">
        <v>558</v>
      </c>
    </row>
    <row r="538" spans="1:4" x14ac:dyDescent="0.25">
      <c r="A538">
        <v>469</v>
      </c>
      <c r="B538">
        <v>50</v>
      </c>
      <c r="C538">
        <v>630</v>
      </c>
      <c r="D538" t="s">
        <v>558</v>
      </c>
    </row>
    <row r="539" spans="1:4" x14ac:dyDescent="0.25">
      <c r="A539">
        <v>468</v>
      </c>
      <c r="B539">
        <v>50</v>
      </c>
      <c r="C539">
        <v>628</v>
      </c>
      <c r="D539" t="s">
        <v>558</v>
      </c>
    </row>
    <row r="540" spans="1:4" x14ac:dyDescent="0.25">
      <c r="A540">
        <v>467</v>
      </c>
      <c r="B540">
        <v>50</v>
      </c>
      <c r="C540">
        <v>627</v>
      </c>
      <c r="D540" t="s">
        <v>558</v>
      </c>
    </row>
    <row r="541" spans="1:4" x14ac:dyDescent="0.25">
      <c r="A541">
        <v>466</v>
      </c>
      <c r="B541">
        <v>50</v>
      </c>
      <c r="C541">
        <v>625</v>
      </c>
      <c r="D541" t="s">
        <v>558</v>
      </c>
    </row>
    <row r="542" spans="1:4" x14ac:dyDescent="0.25">
      <c r="A542">
        <v>465</v>
      </c>
      <c r="B542">
        <v>50</v>
      </c>
      <c r="C542">
        <v>624</v>
      </c>
      <c r="D542" t="s">
        <v>558</v>
      </c>
    </row>
    <row r="543" spans="1:4" x14ac:dyDescent="0.25">
      <c r="A543">
        <v>464</v>
      </c>
      <c r="B543">
        <v>50</v>
      </c>
      <c r="C543">
        <v>622</v>
      </c>
      <c r="D543" t="s">
        <v>558</v>
      </c>
    </row>
    <row r="544" spans="1:4" x14ac:dyDescent="0.25">
      <c r="A544">
        <v>463</v>
      </c>
      <c r="B544">
        <v>50</v>
      </c>
      <c r="C544">
        <v>620</v>
      </c>
      <c r="D544" t="s">
        <v>558</v>
      </c>
    </row>
    <row r="545" spans="1:4" x14ac:dyDescent="0.25">
      <c r="A545">
        <v>422</v>
      </c>
      <c r="B545">
        <v>1</v>
      </c>
      <c r="C545">
        <v>620</v>
      </c>
      <c r="D545" t="s">
        <v>558</v>
      </c>
    </row>
    <row r="546" spans="1:4" x14ac:dyDescent="0.25">
      <c r="A546">
        <v>423</v>
      </c>
      <c r="B546">
        <v>1</v>
      </c>
      <c r="C546">
        <v>619</v>
      </c>
      <c r="D546" t="s">
        <v>558</v>
      </c>
    </row>
    <row r="547" spans="1:4" x14ac:dyDescent="0.25">
      <c r="A547">
        <v>424</v>
      </c>
      <c r="B547">
        <v>1</v>
      </c>
      <c r="C547">
        <v>617</v>
      </c>
      <c r="D547" t="s">
        <v>558</v>
      </c>
    </row>
    <row r="548" spans="1:4" x14ac:dyDescent="0.25">
      <c r="A548">
        <v>425</v>
      </c>
      <c r="B548">
        <v>1</v>
      </c>
      <c r="C548">
        <v>616</v>
      </c>
      <c r="D548" t="s">
        <v>558</v>
      </c>
    </row>
    <row r="549" spans="1:4" x14ac:dyDescent="0.25">
      <c r="A549">
        <v>426</v>
      </c>
      <c r="B549">
        <v>1</v>
      </c>
      <c r="C549">
        <v>614</v>
      </c>
      <c r="D549" t="s">
        <v>558</v>
      </c>
    </row>
    <row r="550" spans="1:4" x14ac:dyDescent="0.25">
      <c r="A550">
        <v>432</v>
      </c>
      <c r="B550">
        <v>1</v>
      </c>
      <c r="C550">
        <v>614</v>
      </c>
      <c r="D550" t="s">
        <v>558</v>
      </c>
    </row>
    <row r="551" spans="1:4" x14ac:dyDescent="0.25">
      <c r="A551">
        <v>427</v>
      </c>
      <c r="B551">
        <v>1</v>
      </c>
      <c r="C551">
        <v>612</v>
      </c>
      <c r="D551" t="s">
        <v>558</v>
      </c>
    </row>
    <row r="552" spans="1:4" x14ac:dyDescent="0.25">
      <c r="A552">
        <v>428</v>
      </c>
      <c r="B552">
        <v>1</v>
      </c>
      <c r="C552">
        <v>611</v>
      </c>
      <c r="D552" t="s">
        <v>558</v>
      </c>
    </row>
    <row r="553" spans="1:4" x14ac:dyDescent="0.25">
      <c r="A553">
        <v>431</v>
      </c>
      <c r="B553">
        <v>1</v>
      </c>
      <c r="C553">
        <v>611</v>
      </c>
      <c r="D553" t="s">
        <v>558</v>
      </c>
    </row>
    <row r="554" spans="1:4" x14ac:dyDescent="0.25">
      <c r="A554">
        <v>429</v>
      </c>
      <c r="B554">
        <v>1</v>
      </c>
      <c r="C554">
        <v>609</v>
      </c>
      <c r="D554" t="s">
        <v>558</v>
      </c>
    </row>
    <row r="555" spans="1:4" x14ac:dyDescent="0.25">
      <c r="A555">
        <v>430</v>
      </c>
      <c r="B555">
        <v>1</v>
      </c>
      <c r="C555">
        <v>608</v>
      </c>
      <c r="D555" t="s">
        <v>558</v>
      </c>
    </row>
    <row r="556" spans="1:4" x14ac:dyDescent="0.25">
      <c r="A556">
        <v>461</v>
      </c>
      <c r="B556">
        <v>50</v>
      </c>
      <c r="C556">
        <v>504</v>
      </c>
      <c r="D556" t="s">
        <v>558</v>
      </c>
    </row>
    <row r="557" spans="1:4" x14ac:dyDescent="0.25">
      <c r="A557">
        <v>327</v>
      </c>
      <c r="B557">
        <v>5</v>
      </c>
      <c r="C557">
        <v>408</v>
      </c>
      <c r="D557" t="s">
        <v>558</v>
      </c>
    </row>
    <row r="558" spans="1:4" x14ac:dyDescent="0.25">
      <c r="A558">
        <v>462</v>
      </c>
      <c r="B558">
        <v>50</v>
      </c>
      <c r="C558">
        <v>187</v>
      </c>
      <c r="D558" t="s">
        <v>558</v>
      </c>
    </row>
    <row r="559" spans="1:4" x14ac:dyDescent="0.25">
      <c r="A559">
        <v>523</v>
      </c>
      <c r="B559">
        <v>6</v>
      </c>
      <c r="C559">
        <v>164</v>
      </c>
      <c r="D559" t="s">
        <v>558</v>
      </c>
    </row>
    <row r="560" spans="1:4" x14ac:dyDescent="0.25">
      <c r="A560">
        <v>524</v>
      </c>
      <c r="B560">
        <v>60</v>
      </c>
      <c r="C560">
        <v>107</v>
      </c>
      <c r="D560" t="s">
        <v>558</v>
      </c>
    </row>
    <row r="561" spans="1:4" x14ac:dyDescent="0.25">
      <c r="A561">
        <v>440</v>
      </c>
      <c r="B561">
        <v>1</v>
      </c>
      <c r="C561">
        <v>640</v>
      </c>
      <c r="D561" t="s">
        <v>559</v>
      </c>
    </row>
    <row r="562" spans="1:4" x14ac:dyDescent="0.25">
      <c r="A562">
        <v>439</v>
      </c>
      <c r="B562">
        <v>1</v>
      </c>
      <c r="C562">
        <v>636</v>
      </c>
      <c r="D562" t="s">
        <v>559</v>
      </c>
    </row>
    <row r="563" spans="1:4" x14ac:dyDescent="0.25">
      <c r="A563">
        <v>441</v>
      </c>
      <c r="B563">
        <v>1</v>
      </c>
      <c r="C563">
        <v>635</v>
      </c>
      <c r="D563" t="s">
        <v>559</v>
      </c>
    </row>
    <row r="564" spans="1:4" x14ac:dyDescent="0.25">
      <c r="A564">
        <v>438</v>
      </c>
      <c r="B564">
        <v>1</v>
      </c>
      <c r="C564">
        <v>633</v>
      </c>
      <c r="D564" t="s">
        <v>559</v>
      </c>
    </row>
    <row r="565" spans="1:4" x14ac:dyDescent="0.25">
      <c r="A565">
        <v>437</v>
      </c>
      <c r="B565">
        <v>1</v>
      </c>
      <c r="C565">
        <v>630</v>
      </c>
      <c r="D565" t="s">
        <v>559</v>
      </c>
    </row>
    <row r="566" spans="1:4" x14ac:dyDescent="0.25">
      <c r="A566">
        <v>442</v>
      </c>
      <c r="B566">
        <v>1</v>
      </c>
      <c r="C566">
        <v>630</v>
      </c>
      <c r="D566" t="s">
        <v>559</v>
      </c>
    </row>
    <row r="567" spans="1:4" x14ac:dyDescent="0.25">
      <c r="A567">
        <v>436</v>
      </c>
      <c r="B567">
        <v>1</v>
      </c>
      <c r="C567">
        <v>627</v>
      </c>
      <c r="D567" t="s">
        <v>559</v>
      </c>
    </row>
    <row r="568" spans="1:4" x14ac:dyDescent="0.25">
      <c r="A568">
        <v>443</v>
      </c>
      <c r="B568">
        <v>1</v>
      </c>
      <c r="C568">
        <v>625</v>
      </c>
      <c r="D568" t="s">
        <v>559</v>
      </c>
    </row>
    <row r="569" spans="1:4" x14ac:dyDescent="0.25">
      <c r="A569">
        <v>435</v>
      </c>
      <c r="B569">
        <v>1</v>
      </c>
      <c r="C569">
        <v>624</v>
      </c>
      <c r="D569" t="s">
        <v>559</v>
      </c>
    </row>
    <row r="570" spans="1:4" x14ac:dyDescent="0.25">
      <c r="A570">
        <v>434</v>
      </c>
      <c r="B570">
        <v>1</v>
      </c>
      <c r="C570">
        <v>620</v>
      </c>
      <c r="D570" t="s">
        <v>559</v>
      </c>
    </row>
    <row r="571" spans="1:4" x14ac:dyDescent="0.25">
      <c r="A571">
        <v>444</v>
      </c>
      <c r="B571">
        <v>1</v>
      </c>
      <c r="C571">
        <v>620</v>
      </c>
      <c r="D571" t="s">
        <v>559</v>
      </c>
    </row>
    <row r="572" spans="1:4" x14ac:dyDescent="0.25">
      <c r="A572">
        <v>433</v>
      </c>
      <c r="B572">
        <v>1</v>
      </c>
      <c r="C572">
        <v>617</v>
      </c>
      <c r="D572" t="s">
        <v>559</v>
      </c>
    </row>
    <row r="573" spans="1:4" x14ac:dyDescent="0.25">
      <c r="A573">
        <v>483</v>
      </c>
      <c r="B573">
        <v>10</v>
      </c>
      <c r="C573">
        <v>459</v>
      </c>
      <c r="D573" t="s">
        <v>559</v>
      </c>
    </row>
    <row r="574" spans="1:4" x14ac:dyDescent="0.25">
      <c r="A574">
        <v>486</v>
      </c>
      <c r="B574">
        <v>10</v>
      </c>
      <c r="C574">
        <v>457</v>
      </c>
      <c r="D574" t="s">
        <v>559</v>
      </c>
    </row>
    <row r="575" spans="1:4" x14ac:dyDescent="0.25">
      <c r="A575">
        <v>535</v>
      </c>
      <c r="B575">
        <v>6</v>
      </c>
      <c r="C575">
        <v>427</v>
      </c>
      <c r="D575" t="s">
        <v>559</v>
      </c>
    </row>
    <row r="576" spans="1:4" x14ac:dyDescent="0.25">
      <c r="A576">
        <v>929</v>
      </c>
      <c r="B576">
        <v>6</v>
      </c>
      <c r="C576">
        <v>385</v>
      </c>
      <c r="D576" t="s">
        <v>559</v>
      </c>
    </row>
    <row r="577" spans="1:4" x14ac:dyDescent="0.25">
      <c r="A577">
        <v>932</v>
      </c>
      <c r="B577">
        <v>6</v>
      </c>
      <c r="C577">
        <v>382</v>
      </c>
      <c r="D577" t="s">
        <v>559</v>
      </c>
    </row>
    <row r="578" spans="1:4" x14ac:dyDescent="0.25">
      <c r="A578">
        <v>534</v>
      </c>
      <c r="B578">
        <v>6</v>
      </c>
      <c r="C578">
        <v>379</v>
      </c>
      <c r="D578" t="s">
        <v>559</v>
      </c>
    </row>
    <row r="579" spans="1:4" x14ac:dyDescent="0.25">
      <c r="A579">
        <v>487</v>
      </c>
      <c r="B579">
        <v>10</v>
      </c>
      <c r="C579">
        <v>324</v>
      </c>
      <c r="D579" t="s">
        <v>559</v>
      </c>
    </row>
    <row r="580" spans="1:4" x14ac:dyDescent="0.25">
      <c r="A580">
        <v>488</v>
      </c>
      <c r="B580">
        <v>10</v>
      </c>
      <c r="C580">
        <v>305</v>
      </c>
      <c r="D580" t="s">
        <v>559</v>
      </c>
    </row>
    <row r="581" spans="1:4" x14ac:dyDescent="0.25">
      <c r="A581">
        <v>933</v>
      </c>
      <c r="B581">
        <v>6</v>
      </c>
      <c r="C581">
        <v>299</v>
      </c>
      <c r="D581" t="s">
        <v>559</v>
      </c>
    </row>
    <row r="582" spans="1:4" x14ac:dyDescent="0.25">
      <c r="A582">
        <v>921</v>
      </c>
      <c r="B582">
        <v>6</v>
      </c>
      <c r="C582">
        <v>286</v>
      </c>
      <c r="D582" t="s">
        <v>559</v>
      </c>
    </row>
    <row r="583" spans="1:4" x14ac:dyDescent="0.25">
      <c r="A583">
        <v>930</v>
      </c>
      <c r="B583">
        <v>6</v>
      </c>
      <c r="C583">
        <v>267</v>
      </c>
      <c r="D583" t="s">
        <v>559</v>
      </c>
    </row>
    <row r="584" spans="1:4" x14ac:dyDescent="0.25">
      <c r="A584">
        <v>922</v>
      </c>
      <c r="B584">
        <v>6</v>
      </c>
      <c r="C584">
        <v>264</v>
      </c>
      <c r="D584" t="s">
        <v>559</v>
      </c>
    </row>
    <row r="585" spans="1:4" x14ac:dyDescent="0.25">
      <c r="A585">
        <v>923</v>
      </c>
      <c r="B585">
        <v>6</v>
      </c>
      <c r="C585">
        <v>262</v>
      </c>
      <c r="D585" t="s">
        <v>559</v>
      </c>
    </row>
    <row r="586" spans="1:4" x14ac:dyDescent="0.25">
      <c r="A586">
        <v>928</v>
      </c>
      <c r="B586">
        <v>6</v>
      </c>
      <c r="C586">
        <v>240</v>
      </c>
      <c r="D586" t="s">
        <v>559</v>
      </c>
    </row>
    <row r="587" spans="1:4" x14ac:dyDescent="0.25">
      <c r="A587">
        <v>931</v>
      </c>
      <c r="B587">
        <v>6</v>
      </c>
      <c r="C587">
        <v>236</v>
      </c>
      <c r="D587" t="s">
        <v>559</v>
      </c>
    </row>
    <row r="588" spans="1:4" x14ac:dyDescent="0.25">
      <c r="A588">
        <v>934</v>
      </c>
      <c r="B588">
        <v>6</v>
      </c>
      <c r="C588">
        <v>233</v>
      </c>
      <c r="D588" t="s">
        <v>559</v>
      </c>
    </row>
    <row r="589" spans="1:4" x14ac:dyDescent="0.25">
      <c r="A589">
        <v>484</v>
      </c>
      <c r="B589">
        <v>10</v>
      </c>
      <c r="C589">
        <v>196</v>
      </c>
      <c r="D589" t="s">
        <v>559</v>
      </c>
    </row>
    <row r="590" spans="1:4" x14ac:dyDescent="0.25">
      <c r="A590">
        <v>485</v>
      </c>
      <c r="B590">
        <v>10</v>
      </c>
      <c r="C590">
        <v>176</v>
      </c>
      <c r="D590" t="s">
        <v>559</v>
      </c>
    </row>
    <row r="591" spans="1:4" x14ac:dyDescent="0.25">
      <c r="A591">
        <v>482</v>
      </c>
      <c r="B591">
        <v>10</v>
      </c>
      <c r="C591">
        <v>176</v>
      </c>
      <c r="D591" t="s">
        <v>559</v>
      </c>
    </row>
    <row r="592" spans="1:4" x14ac:dyDescent="0.25">
      <c r="A592">
        <v>523</v>
      </c>
      <c r="B592">
        <v>60</v>
      </c>
      <c r="C592">
        <v>139</v>
      </c>
      <c r="D592" t="s">
        <v>559</v>
      </c>
    </row>
    <row r="593" spans="1:4" x14ac:dyDescent="0.25">
      <c r="A593">
        <v>524</v>
      </c>
      <c r="B593">
        <v>6</v>
      </c>
      <c r="C593">
        <v>124</v>
      </c>
      <c r="D593" t="s">
        <v>559</v>
      </c>
    </row>
    <row r="594" spans="1:4" x14ac:dyDescent="0.25">
      <c r="A594">
        <v>506</v>
      </c>
      <c r="B594">
        <v>6</v>
      </c>
      <c r="C594">
        <v>390</v>
      </c>
      <c r="D594" t="s">
        <v>280</v>
      </c>
    </row>
    <row r="595" spans="1:4" x14ac:dyDescent="0.25">
      <c r="A595">
        <v>504</v>
      </c>
      <c r="B595">
        <v>6</v>
      </c>
      <c r="C595">
        <v>372</v>
      </c>
      <c r="D595" t="s">
        <v>280</v>
      </c>
    </row>
    <row r="596" spans="1:4" x14ac:dyDescent="0.25">
      <c r="A596">
        <v>497</v>
      </c>
      <c r="B596">
        <v>6</v>
      </c>
      <c r="C596">
        <v>364</v>
      </c>
      <c r="D596" t="s">
        <v>280</v>
      </c>
    </row>
    <row r="597" spans="1:4" x14ac:dyDescent="0.25">
      <c r="A597">
        <v>894</v>
      </c>
      <c r="B597">
        <v>6</v>
      </c>
      <c r="C597">
        <v>355</v>
      </c>
      <c r="D597" t="s">
        <v>280</v>
      </c>
    </row>
    <row r="598" spans="1:4" x14ac:dyDescent="0.25">
      <c r="A598">
        <v>505</v>
      </c>
      <c r="B598">
        <v>6</v>
      </c>
      <c r="C598">
        <v>299</v>
      </c>
      <c r="D598" t="s">
        <v>280</v>
      </c>
    </row>
    <row r="599" spans="1:4" x14ac:dyDescent="0.25">
      <c r="A599">
        <v>940</v>
      </c>
      <c r="B599">
        <v>6</v>
      </c>
      <c r="C599">
        <v>267</v>
      </c>
      <c r="D599" t="s">
        <v>280</v>
      </c>
    </row>
    <row r="600" spans="1:4" x14ac:dyDescent="0.25">
      <c r="A600">
        <v>941</v>
      </c>
      <c r="B600">
        <v>6</v>
      </c>
      <c r="C600">
        <v>262</v>
      </c>
      <c r="D600" t="s">
        <v>280</v>
      </c>
    </row>
    <row r="601" spans="1:4" x14ac:dyDescent="0.25">
      <c r="A601">
        <v>907</v>
      </c>
      <c r="B601">
        <v>6</v>
      </c>
      <c r="C601">
        <v>228</v>
      </c>
      <c r="D601" t="s">
        <v>280</v>
      </c>
    </row>
    <row r="602" spans="1:4" x14ac:dyDescent="0.25">
      <c r="A602">
        <v>935</v>
      </c>
      <c r="B602">
        <v>6</v>
      </c>
      <c r="C602">
        <v>182</v>
      </c>
      <c r="D602" t="s">
        <v>280</v>
      </c>
    </row>
    <row r="603" spans="1:4" x14ac:dyDescent="0.25">
      <c r="A603">
        <v>936</v>
      </c>
      <c r="B603">
        <v>6</v>
      </c>
      <c r="C603">
        <v>180</v>
      </c>
      <c r="D603" t="s">
        <v>280</v>
      </c>
    </row>
    <row r="604" spans="1:4" x14ac:dyDescent="0.25">
      <c r="A604">
        <v>937</v>
      </c>
      <c r="B604">
        <v>6</v>
      </c>
      <c r="C604">
        <v>179</v>
      </c>
      <c r="D604" t="s">
        <v>280</v>
      </c>
    </row>
    <row r="605" spans="1:4" x14ac:dyDescent="0.25">
      <c r="A605">
        <v>938</v>
      </c>
      <c r="B605">
        <v>6</v>
      </c>
      <c r="C605">
        <v>177</v>
      </c>
      <c r="D605" t="s">
        <v>280</v>
      </c>
    </row>
    <row r="606" spans="1:4" x14ac:dyDescent="0.25">
      <c r="A606">
        <v>939</v>
      </c>
      <c r="B606">
        <v>6</v>
      </c>
      <c r="C606">
        <v>176</v>
      </c>
      <c r="D606" t="s">
        <v>280</v>
      </c>
    </row>
    <row r="607" spans="1:4" x14ac:dyDescent="0.25">
      <c r="A607">
        <v>679</v>
      </c>
      <c r="B607">
        <v>6</v>
      </c>
      <c r="C607">
        <v>136</v>
      </c>
      <c r="D607" t="s">
        <v>280</v>
      </c>
    </row>
    <row r="608" spans="1:4" x14ac:dyDescent="0.25">
      <c r="A608">
        <v>509</v>
      </c>
      <c r="B608">
        <v>6</v>
      </c>
      <c r="C608">
        <v>689</v>
      </c>
      <c r="D608" t="s">
        <v>295</v>
      </c>
    </row>
    <row r="609" spans="1:4" x14ac:dyDescent="0.25">
      <c r="A609">
        <v>508</v>
      </c>
      <c r="B609">
        <v>6</v>
      </c>
      <c r="C609">
        <v>681</v>
      </c>
      <c r="D609" t="s">
        <v>295</v>
      </c>
    </row>
    <row r="610" spans="1:4" x14ac:dyDescent="0.25">
      <c r="A610">
        <v>507</v>
      </c>
      <c r="B610">
        <v>6</v>
      </c>
      <c r="C610">
        <v>673</v>
      </c>
      <c r="D610" t="s">
        <v>295</v>
      </c>
    </row>
    <row r="611" spans="1:4" x14ac:dyDescent="0.25">
      <c r="A611">
        <v>513</v>
      </c>
      <c r="B611">
        <v>6</v>
      </c>
      <c r="C611">
        <v>640</v>
      </c>
      <c r="D611" t="s">
        <v>295</v>
      </c>
    </row>
    <row r="612" spans="1:4" x14ac:dyDescent="0.25">
      <c r="A612">
        <v>489</v>
      </c>
      <c r="B612">
        <v>50</v>
      </c>
      <c r="C612">
        <v>606</v>
      </c>
      <c r="D612" t="s">
        <v>295</v>
      </c>
    </row>
    <row r="613" spans="1:4" x14ac:dyDescent="0.25">
      <c r="A613">
        <v>490</v>
      </c>
      <c r="B613">
        <v>50</v>
      </c>
      <c r="C613">
        <v>587</v>
      </c>
      <c r="D613" t="s">
        <v>295</v>
      </c>
    </row>
    <row r="614" spans="1:4" x14ac:dyDescent="0.25">
      <c r="A614">
        <v>510</v>
      </c>
      <c r="B614">
        <v>6</v>
      </c>
      <c r="C614">
        <v>406</v>
      </c>
      <c r="D614" t="s">
        <v>295</v>
      </c>
    </row>
    <row r="615" spans="1:4" x14ac:dyDescent="0.25">
      <c r="A615">
        <v>511</v>
      </c>
      <c r="B615">
        <v>6</v>
      </c>
      <c r="C615">
        <v>390</v>
      </c>
      <c r="D615" t="s">
        <v>295</v>
      </c>
    </row>
    <row r="616" spans="1:4" x14ac:dyDescent="0.25">
      <c r="A616">
        <v>512</v>
      </c>
      <c r="B616">
        <v>6</v>
      </c>
      <c r="C616">
        <v>334</v>
      </c>
      <c r="D616" t="s">
        <v>295</v>
      </c>
    </row>
    <row r="617" spans="1:4" x14ac:dyDescent="0.25">
      <c r="A617">
        <v>491</v>
      </c>
      <c r="B617">
        <v>50</v>
      </c>
      <c r="C617">
        <v>248</v>
      </c>
      <c r="D617" t="s">
        <v>295</v>
      </c>
    </row>
    <row r="618" spans="1:4" x14ac:dyDescent="0.25">
      <c r="A618">
        <v>708</v>
      </c>
      <c r="B618">
        <v>7</v>
      </c>
      <c r="C618">
        <v>324</v>
      </c>
      <c r="D618" t="s">
        <v>89</v>
      </c>
    </row>
    <row r="619" spans="1:4" x14ac:dyDescent="0.25">
      <c r="A619">
        <v>845</v>
      </c>
      <c r="B619">
        <v>7</v>
      </c>
      <c r="C619">
        <v>324</v>
      </c>
      <c r="D619" t="s">
        <v>89</v>
      </c>
    </row>
    <row r="620" spans="1:4" x14ac:dyDescent="0.25">
      <c r="A620">
        <v>852</v>
      </c>
      <c r="B620">
        <v>7</v>
      </c>
      <c r="C620">
        <v>324</v>
      </c>
      <c r="D620" t="s">
        <v>89</v>
      </c>
    </row>
    <row r="621" spans="1:4" x14ac:dyDescent="0.25">
      <c r="A621">
        <v>858</v>
      </c>
      <c r="B621">
        <v>7</v>
      </c>
      <c r="C621">
        <v>324</v>
      </c>
      <c r="D621" t="s">
        <v>89</v>
      </c>
    </row>
    <row r="622" spans="1:4" x14ac:dyDescent="0.25">
      <c r="A622">
        <v>872</v>
      </c>
      <c r="B622">
        <v>7</v>
      </c>
      <c r="C622">
        <v>324</v>
      </c>
      <c r="D622" t="s">
        <v>89</v>
      </c>
    </row>
    <row r="623" spans="1:4" x14ac:dyDescent="0.25">
      <c r="A623">
        <v>881</v>
      </c>
      <c r="B623">
        <v>7</v>
      </c>
      <c r="C623">
        <v>324</v>
      </c>
      <c r="D623" t="s">
        <v>89</v>
      </c>
    </row>
    <row r="624" spans="1:4" x14ac:dyDescent="0.25">
      <c r="A624">
        <v>875</v>
      </c>
      <c r="B624">
        <v>7</v>
      </c>
      <c r="C624">
        <v>288</v>
      </c>
      <c r="D624" t="s">
        <v>89</v>
      </c>
    </row>
    <row r="625" spans="1:4" x14ac:dyDescent="0.25">
      <c r="A625">
        <v>871</v>
      </c>
      <c r="B625">
        <v>7</v>
      </c>
      <c r="C625">
        <v>288</v>
      </c>
      <c r="D625" t="s">
        <v>89</v>
      </c>
    </row>
    <row r="626" spans="1:4" x14ac:dyDescent="0.25">
      <c r="A626">
        <v>869</v>
      </c>
      <c r="B626">
        <v>7</v>
      </c>
      <c r="C626">
        <v>288</v>
      </c>
      <c r="D626" t="s">
        <v>89</v>
      </c>
    </row>
    <row r="627" spans="1:4" x14ac:dyDescent="0.25">
      <c r="A627">
        <v>844</v>
      </c>
      <c r="B627">
        <v>7</v>
      </c>
      <c r="C627">
        <v>288</v>
      </c>
      <c r="D627" t="s">
        <v>89</v>
      </c>
    </row>
    <row r="628" spans="1:4" x14ac:dyDescent="0.25">
      <c r="A628">
        <v>841</v>
      </c>
      <c r="B628">
        <v>7</v>
      </c>
      <c r="C628">
        <v>288</v>
      </c>
      <c r="D628" t="s">
        <v>89</v>
      </c>
    </row>
    <row r="629" spans="1:4" x14ac:dyDescent="0.25">
      <c r="A629">
        <v>707</v>
      </c>
      <c r="B629">
        <v>7</v>
      </c>
      <c r="C629">
        <v>288</v>
      </c>
      <c r="D629" t="s">
        <v>89</v>
      </c>
    </row>
    <row r="630" spans="1:4" x14ac:dyDescent="0.25">
      <c r="A630">
        <v>712</v>
      </c>
      <c r="B630">
        <v>7</v>
      </c>
      <c r="C630">
        <v>288</v>
      </c>
      <c r="D630" t="s">
        <v>89</v>
      </c>
    </row>
    <row r="631" spans="1:4" x14ac:dyDescent="0.25">
      <c r="A631">
        <v>716</v>
      </c>
      <c r="B631">
        <v>7</v>
      </c>
      <c r="C631">
        <v>252</v>
      </c>
      <c r="D631" t="s">
        <v>89</v>
      </c>
    </row>
    <row r="632" spans="1:4" x14ac:dyDescent="0.25">
      <c r="A632">
        <v>843</v>
      </c>
      <c r="B632">
        <v>7</v>
      </c>
      <c r="C632">
        <v>252</v>
      </c>
      <c r="D632" t="s">
        <v>89</v>
      </c>
    </row>
    <row r="633" spans="1:4" x14ac:dyDescent="0.25">
      <c r="A633">
        <v>870</v>
      </c>
      <c r="B633">
        <v>7</v>
      </c>
      <c r="C633">
        <v>252</v>
      </c>
      <c r="D633" t="s">
        <v>89</v>
      </c>
    </row>
    <row r="634" spans="1:4" x14ac:dyDescent="0.25">
      <c r="A634">
        <v>868</v>
      </c>
      <c r="B634">
        <v>7</v>
      </c>
      <c r="C634">
        <v>252</v>
      </c>
      <c r="D634" t="s">
        <v>89</v>
      </c>
    </row>
    <row r="635" spans="1:4" x14ac:dyDescent="0.25">
      <c r="A635">
        <v>874</v>
      </c>
      <c r="B635">
        <v>7</v>
      </c>
      <c r="C635">
        <v>252</v>
      </c>
      <c r="D635" t="s">
        <v>89</v>
      </c>
    </row>
    <row r="636" spans="1:4" x14ac:dyDescent="0.25">
      <c r="A636">
        <v>866</v>
      </c>
      <c r="B636">
        <v>7</v>
      </c>
      <c r="C636">
        <v>252</v>
      </c>
      <c r="D636" t="s">
        <v>89</v>
      </c>
    </row>
    <row r="637" spans="1:4" x14ac:dyDescent="0.25">
      <c r="A637">
        <v>867</v>
      </c>
      <c r="B637">
        <v>7</v>
      </c>
      <c r="C637">
        <v>216</v>
      </c>
      <c r="D637" t="s">
        <v>89</v>
      </c>
    </row>
    <row r="638" spans="1:4" x14ac:dyDescent="0.25">
      <c r="A638">
        <v>865</v>
      </c>
      <c r="B638">
        <v>7</v>
      </c>
      <c r="C638">
        <v>216</v>
      </c>
      <c r="D638" t="s">
        <v>89</v>
      </c>
    </row>
    <row r="639" spans="1:4" x14ac:dyDescent="0.25">
      <c r="A639">
        <v>848</v>
      </c>
      <c r="B639">
        <v>7</v>
      </c>
      <c r="C639">
        <v>216</v>
      </c>
      <c r="D639" t="s">
        <v>89</v>
      </c>
    </row>
    <row r="640" spans="1:4" x14ac:dyDescent="0.25">
      <c r="A640">
        <v>715</v>
      </c>
      <c r="B640">
        <v>7</v>
      </c>
      <c r="C640">
        <v>216</v>
      </c>
      <c r="D640" t="s">
        <v>89</v>
      </c>
    </row>
    <row r="641" spans="1:4" x14ac:dyDescent="0.25">
      <c r="A641">
        <v>710</v>
      </c>
      <c r="B641">
        <v>7</v>
      </c>
      <c r="C641">
        <v>216</v>
      </c>
      <c r="D641" t="s">
        <v>89</v>
      </c>
    </row>
    <row r="642" spans="1:4" x14ac:dyDescent="0.25">
      <c r="A642">
        <v>711</v>
      </c>
      <c r="B642">
        <v>7</v>
      </c>
      <c r="C642">
        <v>216</v>
      </c>
      <c r="D642" t="s">
        <v>89</v>
      </c>
    </row>
    <row r="643" spans="1:4" x14ac:dyDescent="0.25">
      <c r="A643">
        <v>714</v>
      </c>
      <c r="B643">
        <v>7</v>
      </c>
      <c r="C643">
        <v>180</v>
      </c>
      <c r="D643" t="s">
        <v>89</v>
      </c>
    </row>
    <row r="644" spans="1:4" x14ac:dyDescent="0.25">
      <c r="A644">
        <v>709</v>
      </c>
      <c r="B644">
        <v>7</v>
      </c>
      <c r="C644">
        <v>180</v>
      </c>
      <c r="D644" t="s">
        <v>89</v>
      </c>
    </row>
    <row r="645" spans="1:4" x14ac:dyDescent="0.25">
      <c r="A645">
        <v>847</v>
      </c>
      <c r="B645">
        <v>7</v>
      </c>
      <c r="C645">
        <v>180</v>
      </c>
      <c r="D645" t="s">
        <v>89</v>
      </c>
    </row>
    <row r="646" spans="1:4" x14ac:dyDescent="0.25">
      <c r="A646">
        <v>851</v>
      </c>
      <c r="B646">
        <v>7</v>
      </c>
      <c r="C646">
        <v>180</v>
      </c>
      <c r="D646" t="s">
        <v>89</v>
      </c>
    </row>
    <row r="647" spans="1:4" x14ac:dyDescent="0.25">
      <c r="A647">
        <v>873</v>
      </c>
      <c r="B647">
        <v>7</v>
      </c>
      <c r="C647">
        <v>180</v>
      </c>
      <c r="D647" t="s">
        <v>89</v>
      </c>
    </row>
    <row r="648" spans="1:4" x14ac:dyDescent="0.25">
      <c r="A648">
        <v>864</v>
      </c>
      <c r="B648">
        <v>7</v>
      </c>
      <c r="C648">
        <v>180</v>
      </c>
      <c r="D648" t="s">
        <v>89</v>
      </c>
    </row>
    <row r="649" spans="1:4" x14ac:dyDescent="0.25">
      <c r="A649">
        <v>747</v>
      </c>
      <c r="B649">
        <v>20</v>
      </c>
      <c r="C649">
        <v>161</v>
      </c>
      <c r="D649" t="s">
        <v>89</v>
      </c>
    </row>
    <row r="650" spans="1:4" x14ac:dyDescent="0.25">
      <c r="A650">
        <v>747</v>
      </c>
      <c r="B650">
        <v>50</v>
      </c>
      <c r="C650">
        <v>160</v>
      </c>
      <c r="D650" t="s">
        <v>89</v>
      </c>
    </row>
    <row r="651" spans="1:4" x14ac:dyDescent="0.25">
      <c r="A651">
        <v>942</v>
      </c>
      <c r="B651">
        <v>20</v>
      </c>
      <c r="C651">
        <v>160</v>
      </c>
      <c r="D651" t="s">
        <v>89</v>
      </c>
    </row>
    <row r="652" spans="1:4" x14ac:dyDescent="0.25">
      <c r="A652">
        <v>942</v>
      </c>
      <c r="B652">
        <v>50</v>
      </c>
      <c r="C652">
        <v>158</v>
      </c>
      <c r="D652" t="s">
        <v>89</v>
      </c>
    </row>
    <row r="653" spans="1:4" x14ac:dyDescent="0.25">
      <c r="A653">
        <v>822</v>
      </c>
      <c r="B653">
        <v>20</v>
      </c>
      <c r="C653">
        <v>155</v>
      </c>
      <c r="D653" t="s">
        <v>89</v>
      </c>
    </row>
    <row r="654" spans="1:4" x14ac:dyDescent="0.25">
      <c r="A654">
        <v>822</v>
      </c>
      <c r="B654">
        <v>50</v>
      </c>
      <c r="C654">
        <v>153</v>
      </c>
      <c r="D654" t="s">
        <v>89</v>
      </c>
    </row>
    <row r="655" spans="1:4" x14ac:dyDescent="0.25">
      <c r="A655">
        <v>814</v>
      </c>
      <c r="B655">
        <v>20</v>
      </c>
      <c r="C655">
        <v>150</v>
      </c>
      <c r="D655" t="s">
        <v>89</v>
      </c>
    </row>
    <row r="656" spans="1:4" x14ac:dyDescent="0.25">
      <c r="A656">
        <v>814</v>
      </c>
      <c r="B656">
        <v>50</v>
      </c>
      <c r="C656">
        <v>148</v>
      </c>
      <c r="D656" t="s">
        <v>89</v>
      </c>
    </row>
    <row r="657" spans="1:4" x14ac:dyDescent="0.25">
      <c r="A657">
        <v>747</v>
      </c>
      <c r="B657">
        <v>30</v>
      </c>
      <c r="C657">
        <v>148</v>
      </c>
      <c r="D657" t="s">
        <v>89</v>
      </c>
    </row>
    <row r="658" spans="1:4" x14ac:dyDescent="0.25">
      <c r="A658">
        <v>942</v>
      </c>
      <c r="B658">
        <v>30</v>
      </c>
      <c r="C658">
        <v>147</v>
      </c>
      <c r="D658" t="s">
        <v>89</v>
      </c>
    </row>
    <row r="659" spans="1:4" x14ac:dyDescent="0.25">
      <c r="A659">
        <v>748</v>
      </c>
      <c r="B659">
        <v>20</v>
      </c>
      <c r="C659">
        <v>145</v>
      </c>
      <c r="D659" t="s">
        <v>89</v>
      </c>
    </row>
    <row r="660" spans="1:4" x14ac:dyDescent="0.25">
      <c r="A660">
        <v>748</v>
      </c>
      <c r="B660">
        <v>50</v>
      </c>
      <c r="C660">
        <v>144</v>
      </c>
      <c r="D660" t="s">
        <v>89</v>
      </c>
    </row>
    <row r="661" spans="1:4" x14ac:dyDescent="0.25">
      <c r="A661">
        <v>713</v>
      </c>
      <c r="B661">
        <v>7</v>
      </c>
      <c r="C661">
        <v>144</v>
      </c>
      <c r="D661" t="s">
        <v>89</v>
      </c>
    </row>
    <row r="662" spans="1:4" x14ac:dyDescent="0.25">
      <c r="A662">
        <v>863</v>
      </c>
      <c r="B662">
        <v>7</v>
      </c>
      <c r="C662">
        <v>144</v>
      </c>
      <c r="D662" t="s">
        <v>89</v>
      </c>
    </row>
    <row r="663" spans="1:4" x14ac:dyDescent="0.25">
      <c r="A663">
        <v>857</v>
      </c>
      <c r="B663">
        <v>7</v>
      </c>
      <c r="C663">
        <v>144</v>
      </c>
      <c r="D663" t="s">
        <v>89</v>
      </c>
    </row>
    <row r="664" spans="1:4" x14ac:dyDescent="0.25">
      <c r="A664">
        <v>850</v>
      </c>
      <c r="B664">
        <v>7</v>
      </c>
      <c r="C664">
        <v>144</v>
      </c>
      <c r="D664" t="s">
        <v>89</v>
      </c>
    </row>
    <row r="665" spans="1:4" x14ac:dyDescent="0.25">
      <c r="A665">
        <v>846</v>
      </c>
      <c r="B665">
        <v>7</v>
      </c>
      <c r="C665">
        <v>144</v>
      </c>
      <c r="D665" t="s">
        <v>89</v>
      </c>
    </row>
    <row r="666" spans="1:4" x14ac:dyDescent="0.25">
      <c r="A666">
        <v>879</v>
      </c>
      <c r="B666">
        <v>7</v>
      </c>
      <c r="C666">
        <v>144</v>
      </c>
      <c r="D666" t="s">
        <v>89</v>
      </c>
    </row>
    <row r="667" spans="1:4" x14ac:dyDescent="0.25">
      <c r="A667">
        <v>943</v>
      </c>
      <c r="B667">
        <v>20</v>
      </c>
      <c r="C667">
        <v>142</v>
      </c>
      <c r="D667" t="s">
        <v>89</v>
      </c>
    </row>
    <row r="668" spans="1:4" x14ac:dyDescent="0.25">
      <c r="A668">
        <v>822</v>
      </c>
      <c r="B668">
        <v>30</v>
      </c>
      <c r="C668">
        <v>142</v>
      </c>
      <c r="D668" t="s">
        <v>89</v>
      </c>
    </row>
    <row r="669" spans="1:4" x14ac:dyDescent="0.25">
      <c r="A669">
        <v>943</v>
      </c>
      <c r="B669">
        <v>50</v>
      </c>
      <c r="C669">
        <v>140</v>
      </c>
      <c r="D669" t="s">
        <v>89</v>
      </c>
    </row>
    <row r="670" spans="1:4" x14ac:dyDescent="0.25">
      <c r="A670">
        <v>814</v>
      </c>
      <c r="B670">
        <v>30</v>
      </c>
      <c r="C670">
        <v>137</v>
      </c>
      <c r="D670" t="s">
        <v>89</v>
      </c>
    </row>
    <row r="671" spans="1:4" x14ac:dyDescent="0.25">
      <c r="A671">
        <v>747</v>
      </c>
      <c r="B671">
        <v>60</v>
      </c>
      <c r="C671">
        <v>137</v>
      </c>
      <c r="D671" t="s">
        <v>89</v>
      </c>
    </row>
    <row r="672" spans="1:4" x14ac:dyDescent="0.25">
      <c r="A672">
        <v>944</v>
      </c>
      <c r="B672">
        <v>45</v>
      </c>
      <c r="C672">
        <v>136</v>
      </c>
      <c r="D672" t="s">
        <v>89</v>
      </c>
    </row>
    <row r="673" spans="1:4" x14ac:dyDescent="0.25">
      <c r="A673">
        <v>942</v>
      </c>
      <c r="B673">
        <v>60</v>
      </c>
      <c r="C673">
        <v>136</v>
      </c>
      <c r="D673" t="s">
        <v>89</v>
      </c>
    </row>
    <row r="674" spans="1:4" x14ac:dyDescent="0.25">
      <c r="A674">
        <v>944</v>
      </c>
      <c r="B674">
        <v>60</v>
      </c>
      <c r="C674">
        <v>134</v>
      </c>
      <c r="D674" t="s">
        <v>89</v>
      </c>
    </row>
    <row r="675" spans="1:4" x14ac:dyDescent="0.25">
      <c r="A675">
        <v>748</v>
      </c>
      <c r="B675">
        <v>30</v>
      </c>
      <c r="C675">
        <v>132</v>
      </c>
      <c r="D675" t="s">
        <v>89</v>
      </c>
    </row>
    <row r="676" spans="1:4" x14ac:dyDescent="0.25">
      <c r="A676">
        <v>822</v>
      </c>
      <c r="B676">
        <v>60</v>
      </c>
      <c r="C676">
        <v>131</v>
      </c>
      <c r="D676" t="s">
        <v>89</v>
      </c>
    </row>
    <row r="677" spans="1:4" x14ac:dyDescent="0.25">
      <c r="A677">
        <v>943</v>
      </c>
      <c r="B677">
        <v>30</v>
      </c>
      <c r="C677">
        <v>129</v>
      </c>
      <c r="D677" t="s">
        <v>89</v>
      </c>
    </row>
    <row r="678" spans="1:4" x14ac:dyDescent="0.25">
      <c r="A678">
        <v>958</v>
      </c>
      <c r="B678">
        <v>7</v>
      </c>
      <c r="C678">
        <v>128</v>
      </c>
      <c r="D678" t="s">
        <v>89</v>
      </c>
    </row>
    <row r="679" spans="1:4" x14ac:dyDescent="0.25">
      <c r="A679">
        <v>963</v>
      </c>
      <c r="B679">
        <v>7</v>
      </c>
      <c r="C679">
        <v>126</v>
      </c>
      <c r="D679" t="s">
        <v>89</v>
      </c>
    </row>
    <row r="680" spans="1:4" x14ac:dyDescent="0.25">
      <c r="A680">
        <v>814</v>
      </c>
      <c r="B680">
        <v>60</v>
      </c>
      <c r="C680">
        <v>126</v>
      </c>
      <c r="D680" t="s">
        <v>89</v>
      </c>
    </row>
    <row r="681" spans="1:4" x14ac:dyDescent="0.25">
      <c r="A681">
        <v>799</v>
      </c>
      <c r="B681">
        <v>60</v>
      </c>
      <c r="C681">
        <v>123</v>
      </c>
      <c r="D681" t="s">
        <v>89</v>
      </c>
    </row>
    <row r="682" spans="1:4" x14ac:dyDescent="0.25">
      <c r="A682">
        <v>792</v>
      </c>
      <c r="B682">
        <v>60</v>
      </c>
      <c r="C682">
        <v>123</v>
      </c>
      <c r="D682" t="s">
        <v>89</v>
      </c>
    </row>
    <row r="683" spans="1:4" x14ac:dyDescent="0.25">
      <c r="A683">
        <v>770</v>
      </c>
      <c r="B683">
        <v>60</v>
      </c>
      <c r="C683">
        <v>123</v>
      </c>
      <c r="D683" t="s">
        <v>89</v>
      </c>
    </row>
    <row r="684" spans="1:4" x14ac:dyDescent="0.25">
      <c r="A684">
        <v>971</v>
      </c>
      <c r="B684">
        <v>60</v>
      </c>
      <c r="C684">
        <v>123</v>
      </c>
      <c r="D684" t="s">
        <v>89</v>
      </c>
    </row>
    <row r="685" spans="1:4" x14ac:dyDescent="0.25">
      <c r="A685">
        <v>976</v>
      </c>
      <c r="B685">
        <v>60</v>
      </c>
      <c r="C685">
        <v>123</v>
      </c>
      <c r="D685" t="s">
        <v>89</v>
      </c>
    </row>
    <row r="686" spans="1:4" x14ac:dyDescent="0.25">
      <c r="A686">
        <v>993</v>
      </c>
      <c r="B686">
        <v>7</v>
      </c>
      <c r="C686">
        <v>123</v>
      </c>
      <c r="D686" t="s">
        <v>89</v>
      </c>
    </row>
    <row r="687" spans="1:4" x14ac:dyDescent="0.25">
      <c r="A687">
        <v>997</v>
      </c>
      <c r="B687">
        <v>7</v>
      </c>
      <c r="C687">
        <v>123</v>
      </c>
      <c r="D687" t="s">
        <v>89</v>
      </c>
    </row>
    <row r="688" spans="1:4" x14ac:dyDescent="0.25">
      <c r="A688">
        <v>986</v>
      </c>
      <c r="B688">
        <v>7</v>
      </c>
      <c r="C688">
        <v>123</v>
      </c>
      <c r="D688" t="s">
        <v>89</v>
      </c>
    </row>
    <row r="689" spans="1:4" x14ac:dyDescent="0.25">
      <c r="A689">
        <v>944</v>
      </c>
      <c r="B689">
        <v>30</v>
      </c>
      <c r="C689">
        <v>123</v>
      </c>
      <c r="D689" t="s">
        <v>89</v>
      </c>
    </row>
    <row r="690" spans="1:4" x14ac:dyDescent="0.25">
      <c r="A690">
        <v>959</v>
      </c>
      <c r="B690">
        <v>60</v>
      </c>
      <c r="C690">
        <v>121</v>
      </c>
      <c r="D690" t="s">
        <v>89</v>
      </c>
    </row>
    <row r="691" spans="1:4" x14ac:dyDescent="0.25">
      <c r="A691">
        <v>763</v>
      </c>
      <c r="B691">
        <v>60</v>
      </c>
      <c r="C691">
        <v>121</v>
      </c>
      <c r="D691" t="s">
        <v>89</v>
      </c>
    </row>
    <row r="692" spans="1:4" x14ac:dyDescent="0.25">
      <c r="A692">
        <v>780</v>
      </c>
      <c r="B692">
        <v>60</v>
      </c>
      <c r="C692">
        <v>121</v>
      </c>
      <c r="D692" t="s">
        <v>89</v>
      </c>
    </row>
    <row r="693" spans="1:4" x14ac:dyDescent="0.25">
      <c r="A693">
        <v>786</v>
      </c>
      <c r="B693">
        <v>60</v>
      </c>
      <c r="C693">
        <v>121</v>
      </c>
      <c r="D693" t="s">
        <v>89</v>
      </c>
    </row>
    <row r="694" spans="1:4" x14ac:dyDescent="0.25">
      <c r="A694">
        <v>750</v>
      </c>
      <c r="B694">
        <v>60</v>
      </c>
      <c r="C694">
        <v>121</v>
      </c>
      <c r="D694" t="s">
        <v>89</v>
      </c>
    </row>
    <row r="695" spans="1:4" x14ac:dyDescent="0.25">
      <c r="A695">
        <v>748</v>
      </c>
      <c r="B695">
        <v>60</v>
      </c>
      <c r="C695">
        <v>121</v>
      </c>
      <c r="D695" t="s">
        <v>89</v>
      </c>
    </row>
    <row r="696" spans="1:4" x14ac:dyDescent="0.25">
      <c r="A696">
        <v>747</v>
      </c>
      <c r="B696">
        <v>10</v>
      </c>
      <c r="C696">
        <v>121</v>
      </c>
      <c r="D696" t="s">
        <v>89</v>
      </c>
    </row>
    <row r="697" spans="1:4" x14ac:dyDescent="0.25">
      <c r="A697">
        <v>942</v>
      </c>
      <c r="B697">
        <v>10</v>
      </c>
      <c r="C697">
        <v>120</v>
      </c>
      <c r="D697" t="s">
        <v>89</v>
      </c>
    </row>
    <row r="698" spans="1:4" x14ac:dyDescent="0.25">
      <c r="A698">
        <v>943</v>
      </c>
      <c r="B698">
        <v>60</v>
      </c>
      <c r="C698">
        <v>118</v>
      </c>
      <c r="D698" t="s">
        <v>89</v>
      </c>
    </row>
    <row r="699" spans="1:4" x14ac:dyDescent="0.25">
      <c r="A699">
        <v>953</v>
      </c>
      <c r="B699">
        <v>7</v>
      </c>
      <c r="C699">
        <v>116</v>
      </c>
      <c r="D699" t="s">
        <v>89</v>
      </c>
    </row>
    <row r="700" spans="1:4" x14ac:dyDescent="0.25">
      <c r="A700">
        <v>988</v>
      </c>
      <c r="B700">
        <v>60</v>
      </c>
      <c r="C700">
        <v>116</v>
      </c>
      <c r="D700" t="s">
        <v>89</v>
      </c>
    </row>
    <row r="701" spans="1:4" x14ac:dyDescent="0.25">
      <c r="A701">
        <v>964</v>
      </c>
      <c r="B701">
        <v>60</v>
      </c>
      <c r="C701">
        <v>116</v>
      </c>
      <c r="D701" t="s">
        <v>89</v>
      </c>
    </row>
    <row r="702" spans="1:4" x14ac:dyDescent="0.25">
      <c r="A702">
        <v>999</v>
      </c>
      <c r="B702">
        <v>60</v>
      </c>
      <c r="C702">
        <v>116</v>
      </c>
      <c r="D702" t="s">
        <v>89</v>
      </c>
    </row>
    <row r="703" spans="1:4" x14ac:dyDescent="0.25">
      <c r="A703">
        <v>776</v>
      </c>
      <c r="B703">
        <v>60</v>
      </c>
      <c r="C703">
        <v>116</v>
      </c>
      <c r="D703" t="s">
        <v>89</v>
      </c>
    </row>
    <row r="704" spans="1:4" x14ac:dyDescent="0.25">
      <c r="A704">
        <v>766</v>
      </c>
      <c r="B704">
        <v>7</v>
      </c>
      <c r="C704">
        <v>116</v>
      </c>
      <c r="D704" t="s">
        <v>89</v>
      </c>
    </row>
    <row r="705" spans="1:4" x14ac:dyDescent="0.25">
      <c r="A705">
        <v>758</v>
      </c>
      <c r="B705">
        <v>7</v>
      </c>
      <c r="C705">
        <v>116</v>
      </c>
      <c r="D705" t="s">
        <v>89</v>
      </c>
    </row>
    <row r="706" spans="1:4" x14ac:dyDescent="0.25">
      <c r="A706">
        <v>794</v>
      </c>
      <c r="B706">
        <v>7</v>
      </c>
      <c r="C706">
        <v>116</v>
      </c>
      <c r="D706" t="s">
        <v>89</v>
      </c>
    </row>
    <row r="707" spans="1:4" x14ac:dyDescent="0.25">
      <c r="A707">
        <v>822</v>
      </c>
      <c r="B707">
        <v>10</v>
      </c>
      <c r="C707">
        <v>115</v>
      </c>
      <c r="D707" t="s">
        <v>89</v>
      </c>
    </row>
    <row r="708" spans="1:4" x14ac:dyDescent="0.25">
      <c r="A708">
        <v>759</v>
      </c>
      <c r="B708">
        <v>7</v>
      </c>
      <c r="C708">
        <v>112</v>
      </c>
      <c r="D708" t="s">
        <v>89</v>
      </c>
    </row>
    <row r="709" spans="1:4" x14ac:dyDescent="0.25">
      <c r="A709">
        <v>753</v>
      </c>
      <c r="B709">
        <v>7</v>
      </c>
      <c r="C709">
        <v>112</v>
      </c>
      <c r="D709" t="s">
        <v>89</v>
      </c>
    </row>
    <row r="710" spans="1:4" x14ac:dyDescent="0.25">
      <c r="A710">
        <v>789</v>
      </c>
      <c r="B710">
        <v>7</v>
      </c>
      <c r="C710">
        <v>112</v>
      </c>
      <c r="D710" t="s">
        <v>89</v>
      </c>
    </row>
    <row r="711" spans="1:4" x14ac:dyDescent="0.25">
      <c r="A711">
        <v>944</v>
      </c>
      <c r="B711">
        <v>10</v>
      </c>
      <c r="C711">
        <v>112</v>
      </c>
      <c r="D711" t="s">
        <v>89</v>
      </c>
    </row>
    <row r="712" spans="1:4" x14ac:dyDescent="0.25">
      <c r="A712">
        <v>814</v>
      </c>
      <c r="B712">
        <v>10</v>
      </c>
      <c r="C712">
        <v>110</v>
      </c>
      <c r="D712" t="s">
        <v>89</v>
      </c>
    </row>
    <row r="713" spans="1:4" x14ac:dyDescent="0.25">
      <c r="A713">
        <v>849</v>
      </c>
      <c r="B713">
        <v>7</v>
      </c>
      <c r="C713">
        <v>108</v>
      </c>
      <c r="D713" t="s">
        <v>89</v>
      </c>
    </row>
    <row r="714" spans="1:4" x14ac:dyDescent="0.25">
      <c r="A714">
        <v>856</v>
      </c>
      <c r="B714">
        <v>7</v>
      </c>
      <c r="C714">
        <v>108</v>
      </c>
      <c r="D714" t="s">
        <v>89</v>
      </c>
    </row>
    <row r="715" spans="1:4" x14ac:dyDescent="0.25">
      <c r="A715">
        <v>862</v>
      </c>
      <c r="B715">
        <v>7</v>
      </c>
      <c r="C715">
        <v>108</v>
      </c>
      <c r="D715" t="s">
        <v>89</v>
      </c>
    </row>
    <row r="716" spans="1:4" x14ac:dyDescent="0.25">
      <c r="A716">
        <v>787</v>
      </c>
      <c r="B716">
        <v>60</v>
      </c>
      <c r="C716">
        <v>108</v>
      </c>
      <c r="D716" t="s">
        <v>89</v>
      </c>
    </row>
    <row r="717" spans="1:4" x14ac:dyDescent="0.25">
      <c r="A717">
        <v>781</v>
      </c>
      <c r="B717">
        <v>60</v>
      </c>
      <c r="C717">
        <v>108</v>
      </c>
      <c r="D717" t="s">
        <v>89</v>
      </c>
    </row>
    <row r="718" spans="1:4" x14ac:dyDescent="0.25">
      <c r="A718">
        <v>764</v>
      </c>
      <c r="B718">
        <v>60</v>
      </c>
      <c r="C718">
        <v>108</v>
      </c>
      <c r="D718" t="s">
        <v>89</v>
      </c>
    </row>
    <row r="719" spans="1:4" x14ac:dyDescent="0.25">
      <c r="A719">
        <v>751</v>
      </c>
      <c r="B719">
        <v>60</v>
      </c>
      <c r="C719">
        <v>108</v>
      </c>
      <c r="D719" t="s">
        <v>89</v>
      </c>
    </row>
    <row r="720" spans="1:4" x14ac:dyDescent="0.25">
      <c r="A720">
        <v>880</v>
      </c>
      <c r="B720">
        <v>7</v>
      </c>
      <c r="C720">
        <v>108</v>
      </c>
      <c r="D720" t="s">
        <v>89</v>
      </c>
    </row>
    <row r="721" spans="1:4" x14ac:dyDescent="0.25">
      <c r="A721">
        <v>878</v>
      </c>
      <c r="B721">
        <v>7</v>
      </c>
      <c r="C721">
        <v>108</v>
      </c>
      <c r="D721" t="s">
        <v>89</v>
      </c>
    </row>
    <row r="722" spans="1:4" x14ac:dyDescent="0.25">
      <c r="A722">
        <v>962</v>
      </c>
      <c r="B722">
        <v>60</v>
      </c>
      <c r="C722">
        <v>107</v>
      </c>
      <c r="D722" t="s">
        <v>89</v>
      </c>
    </row>
    <row r="723" spans="1:4" x14ac:dyDescent="0.25">
      <c r="A723">
        <v>747</v>
      </c>
      <c r="B723">
        <v>40</v>
      </c>
      <c r="C723">
        <v>107</v>
      </c>
      <c r="D723" t="s">
        <v>89</v>
      </c>
    </row>
    <row r="724" spans="1:4" x14ac:dyDescent="0.25">
      <c r="A724">
        <v>748</v>
      </c>
      <c r="B724">
        <v>10</v>
      </c>
      <c r="C724">
        <v>105</v>
      </c>
      <c r="D724" t="s">
        <v>89</v>
      </c>
    </row>
    <row r="725" spans="1:4" x14ac:dyDescent="0.25">
      <c r="A725">
        <v>960</v>
      </c>
      <c r="B725">
        <v>60</v>
      </c>
      <c r="C725">
        <v>105</v>
      </c>
      <c r="D725" t="s">
        <v>89</v>
      </c>
    </row>
    <row r="726" spans="1:4" x14ac:dyDescent="0.25">
      <c r="A726">
        <v>942</v>
      </c>
      <c r="B726">
        <v>45</v>
      </c>
      <c r="C726">
        <v>105</v>
      </c>
      <c r="D726" t="s">
        <v>89</v>
      </c>
    </row>
    <row r="727" spans="1:4" x14ac:dyDescent="0.25">
      <c r="A727">
        <v>971</v>
      </c>
      <c r="B727">
        <v>7</v>
      </c>
      <c r="C727">
        <v>104</v>
      </c>
      <c r="D727" t="s">
        <v>89</v>
      </c>
    </row>
    <row r="728" spans="1:4" x14ac:dyDescent="0.25">
      <c r="A728">
        <v>976</v>
      </c>
      <c r="B728">
        <v>7</v>
      </c>
      <c r="C728">
        <v>104</v>
      </c>
      <c r="D728" t="s">
        <v>89</v>
      </c>
    </row>
    <row r="729" spans="1:4" x14ac:dyDescent="0.25">
      <c r="A729">
        <v>985</v>
      </c>
      <c r="B729">
        <v>60</v>
      </c>
      <c r="C729">
        <v>104</v>
      </c>
      <c r="D729" t="s">
        <v>89</v>
      </c>
    </row>
    <row r="730" spans="1:4" x14ac:dyDescent="0.25">
      <c r="A730">
        <v>983</v>
      </c>
      <c r="B730">
        <v>60</v>
      </c>
      <c r="C730">
        <v>104</v>
      </c>
      <c r="D730" t="s">
        <v>89</v>
      </c>
    </row>
    <row r="731" spans="1:4" x14ac:dyDescent="0.25">
      <c r="A731">
        <v>992</v>
      </c>
      <c r="B731">
        <v>60</v>
      </c>
      <c r="C731">
        <v>104</v>
      </c>
      <c r="D731" t="s">
        <v>89</v>
      </c>
    </row>
    <row r="732" spans="1:4" x14ac:dyDescent="0.25">
      <c r="A732">
        <v>770</v>
      </c>
      <c r="B732">
        <v>7</v>
      </c>
      <c r="C732">
        <v>104</v>
      </c>
      <c r="D732" t="s">
        <v>89</v>
      </c>
    </row>
    <row r="733" spans="1:4" x14ac:dyDescent="0.25">
      <c r="A733">
        <v>792</v>
      </c>
      <c r="B733">
        <v>7</v>
      </c>
      <c r="C733">
        <v>104</v>
      </c>
      <c r="D733" t="s">
        <v>89</v>
      </c>
    </row>
    <row r="734" spans="1:4" x14ac:dyDescent="0.25">
      <c r="A734">
        <v>799</v>
      </c>
      <c r="B734">
        <v>7</v>
      </c>
      <c r="C734">
        <v>104</v>
      </c>
      <c r="D734" t="s">
        <v>89</v>
      </c>
    </row>
    <row r="735" spans="1:4" x14ac:dyDescent="0.25">
      <c r="A735">
        <v>774</v>
      </c>
      <c r="B735">
        <v>60</v>
      </c>
      <c r="C735">
        <v>102</v>
      </c>
      <c r="D735" t="s">
        <v>89</v>
      </c>
    </row>
    <row r="736" spans="1:4" x14ac:dyDescent="0.25">
      <c r="A736">
        <v>780</v>
      </c>
      <c r="B736">
        <v>7</v>
      </c>
      <c r="C736">
        <v>102</v>
      </c>
      <c r="D736" t="s">
        <v>89</v>
      </c>
    </row>
    <row r="737" spans="1:4" x14ac:dyDescent="0.25">
      <c r="A737">
        <v>786</v>
      </c>
      <c r="B737">
        <v>7</v>
      </c>
      <c r="C737">
        <v>102</v>
      </c>
      <c r="D737" t="s">
        <v>89</v>
      </c>
    </row>
    <row r="738" spans="1:4" x14ac:dyDescent="0.25">
      <c r="A738">
        <v>763</v>
      </c>
      <c r="B738">
        <v>7</v>
      </c>
      <c r="C738">
        <v>102</v>
      </c>
      <c r="D738" t="s">
        <v>89</v>
      </c>
    </row>
    <row r="739" spans="1:4" x14ac:dyDescent="0.25">
      <c r="A739">
        <v>750</v>
      </c>
      <c r="B739">
        <v>7</v>
      </c>
      <c r="C739">
        <v>102</v>
      </c>
      <c r="D739" t="s">
        <v>89</v>
      </c>
    </row>
    <row r="740" spans="1:4" x14ac:dyDescent="0.25">
      <c r="A740">
        <v>943</v>
      </c>
      <c r="B740">
        <v>10</v>
      </c>
      <c r="C740">
        <v>102</v>
      </c>
      <c r="D740" t="s">
        <v>89</v>
      </c>
    </row>
    <row r="741" spans="1:4" x14ac:dyDescent="0.25">
      <c r="A741">
        <v>957</v>
      </c>
      <c r="B741">
        <v>60</v>
      </c>
      <c r="C741">
        <v>100</v>
      </c>
      <c r="D741" t="s">
        <v>89</v>
      </c>
    </row>
    <row r="742" spans="1:4" x14ac:dyDescent="0.25">
      <c r="A742">
        <v>767</v>
      </c>
      <c r="B742">
        <v>7</v>
      </c>
      <c r="C742">
        <v>100</v>
      </c>
      <c r="D742" t="s">
        <v>89</v>
      </c>
    </row>
    <row r="743" spans="1:4" x14ac:dyDescent="0.25">
      <c r="A743">
        <v>782</v>
      </c>
      <c r="B743">
        <v>7</v>
      </c>
      <c r="C743">
        <v>100</v>
      </c>
      <c r="D743" t="s">
        <v>89</v>
      </c>
    </row>
    <row r="744" spans="1:4" x14ac:dyDescent="0.25">
      <c r="A744">
        <v>771</v>
      </c>
      <c r="B744">
        <v>60</v>
      </c>
      <c r="C744">
        <v>100</v>
      </c>
      <c r="D744" t="s">
        <v>89</v>
      </c>
    </row>
    <row r="745" spans="1:4" x14ac:dyDescent="0.25">
      <c r="A745">
        <v>777</v>
      </c>
      <c r="B745">
        <v>60</v>
      </c>
      <c r="C745">
        <v>100</v>
      </c>
      <c r="D745" t="s">
        <v>89</v>
      </c>
    </row>
    <row r="746" spans="1:4" x14ac:dyDescent="0.25">
      <c r="A746">
        <v>795</v>
      </c>
      <c r="B746">
        <v>7</v>
      </c>
      <c r="C746">
        <v>100</v>
      </c>
      <c r="D746" t="s">
        <v>89</v>
      </c>
    </row>
    <row r="747" spans="1:4" x14ac:dyDescent="0.25">
      <c r="A747">
        <v>822</v>
      </c>
      <c r="B747">
        <v>40</v>
      </c>
      <c r="C747">
        <v>100</v>
      </c>
      <c r="D747" t="s">
        <v>89</v>
      </c>
    </row>
    <row r="748" spans="1:4" x14ac:dyDescent="0.25">
      <c r="A748">
        <v>790</v>
      </c>
      <c r="B748">
        <v>7</v>
      </c>
      <c r="C748">
        <v>99</v>
      </c>
      <c r="D748" t="s">
        <v>89</v>
      </c>
    </row>
    <row r="749" spans="1:4" x14ac:dyDescent="0.25">
      <c r="A749">
        <v>800</v>
      </c>
      <c r="B749">
        <v>60</v>
      </c>
      <c r="C749">
        <v>99</v>
      </c>
      <c r="D749" t="s">
        <v>89</v>
      </c>
    </row>
    <row r="750" spans="1:4" x14ac:dyDescent="0.25">
      <c r="A750">
        <v>775</v>
      </c>
      <c r="B750">
        <v>7</v>
      </c>
      <c r="C750">
        <v>99</v>
      </c>
      <c r="D750" t="s">
        <v>89</v>
      </c>
    </row>
    <row r="751" spans="1:4" x14ac:dyDescent="0.25">
      <c r="A751">
        <v>756</v>
      </c>
      <c r="B751">
        <v>60</v>
      </c>
      <c r="C751">
        <v>99</v>
      </c>
      <c r="D751" t="s">
        <v>89</v>
      </c>
    </row>
    <row r="752" spans="1:4" x14ac:dyDescent="0.25">
      <c r="A752">
        <v>760</v>
      </c>
      <c r="B752">
        <v>7</v>
      </c>
      <c r="C752">
        <v>99</v>
      </c>
      <c r="D752" t="s">
        <v>89</v>
      </c>
    </row>
    <row r="753" spans="1:4" x14ac:dyDescent="0.25">
      <c r="A753">
        <v>998</v>
      </c>
      <c r="B753">
        <v>7</v>
      </c>
      <c r="C753">
        <v>99</v>
      </c>
      <c r="D753" t="s">
        <v>89</v>
      </c>
    </row>
    <row r="754" spans="1:4" x14ac:dyDescent="0.25">
      <c r="A754">
        <v>987</v>
      </c>
      <c r="B754">
        <v>7</v>
      </c>
      <c r="C754">
        <v>99</v>
      </c>
      <c r="D754" t="s">
        <v>89</v>
      </c>
    </row>
    <row r="755" spans="1:4" x14ac:dyDescent="0.25">
      <c r="A755">
        <v>989</v>
      </c>
      <c r="B755">
        <v>60</v>
      </c>
      <c r="C755">
        <v>99</v>
      </c>
      <c r="D755" t="s">
        <v>89</v>
      </c>
    </row>
    <row r="756" spans="1:4" x14ac:dyDescent="0.25">
      <c r="A756">
        <v>966</v>
      </c>
      <c r="B756">
        <v>7</v>
      </c>
      <c r="C756">
        <v>99</v>
      </c>
      <c r="D756" t="s">
        <v>89</v>
      </c>
    </row>
    <row r="757" spans="1:4" x14ac:dyDescent="0.25">
      <c r="A757">
        <v>969</v>
      </c>
      <c r="B757">
        <v>60</v>
      </c>
      <c r="C757">
        <v>99</v>
      </c>
      <c r="D757" t="s">
        <v>89</v>
      </c>
    </row>
    <row r="758" spans="1:4" x14ac:dyDescent="0.25">
      <c r="A758">
        <v>972</v>
      </c>
      <c r="B758">
        <v>60</v>
      </c>
      <c r="C758">
        <v>99</v>
      </c>
      <c r="D758" t="s">
        <v>89</v>
      </c>
    </row>
    <row r="759" spans="1:4" x14ac:dyDescent="0.25">
      <c r="A759">
        <v>973</v>
      </c>
      <c r="B759">
        <v>7</v>
      </c>
      <c r="C759">
        <v>99</v>
      </c>
      <c r="D759" t="s">
        <v>89</v>
      </c>
    </row>
    <row r="760" spans="1:4" x14ac:dyDescent="0.25">
      <c r="A760">
        <v>980</v>
      </c>
      <c r="B760">
        <v>60</v>
      </c>
      <c r="C760">
        <v>99</v>
      </c>
      <c r="D760" t="s">
        <v>89</v>
      </c>
    </row>
    <row r="761" spans="1:4" x14ac:dyDescent="0.25">
      <c r="A761">
        <v>944</v>
      </c>
      <c r="B761">
        <v>20</v>
      </c>
      <c r="C761">
        <v>96</v>
      </c>
      <c r="D761" t="s">
        <v>89</v>
      </c>
    </row>
    <row r="762" spans="1:4" x14ac:dyDescent="0.25">
      <c r="A762">
        <v>814</v>
      </c>
      <c r="B762">
        <v>40</v>
      </c>
      <c r="C762">
        <v>96</v>
      </c>
      <c r="D762" t="s">
        <v>89</v>
      </c>
    </row>
    <row r="763" spans="1:4" x14ac:dyDescent="0.25">
      <c r="A763">
        <v>748</v>
      </c>
      <c r="B763">
        <v>45</v>
      </c>
      <c r="C763">
        <v>91</v>
      </c>
      <c r="D763" t="s">
        <v>89</v>
      </c>
    </row>
    <row r="764" spans="1:4" x14ac:dyDescent="0.25">
      <c r="A764">
        <v>978</v>
      </c>
      <c r="B764">
        <v>7</v>
      </c>
      <c r="C764">
        <v>91</v>
      </c>
      <c r="D764" t="s">
        <v>89</v>
      </c>
    </row>
    <row r="765" spans="1:4" x14ac:dyDescent="0.25">
      <c r="A765">
        <v>965</v>
      </c>
      <c r="B765">
        <v>7</v>
      </c>
      <c r="C765">
        <v>91</v>
      </c>
      <c r="D765" t="s">
        <v>89</v>
      </c>
    </row>
    <row r="766" spans="1:4" x14ac:dyDescent="0.25">
      <c r="A766">
        <v>977</v>
      </c>
      <c r="B766">
        <v>7</v>
      </c>
      <c r="C766">
        <v>88</v>
      </c>
      <c r="D766" t="s">
        <v>89</v>
      </c>
    </row>
    <row r="767" spans="1:4" x14ac:dyDescent="0.25">
      <c r="A767">
        <v>943</v>
      </c>
      <c r="B767">
        <v>40</v>
      </c>
      <c r="C767">
        <v>88</v>
      </c>
      <c r="D767" t="s">
        <v>89</v>
      </c>
    </row>
    <row r="768" spans="1:4" x14ac:dyDescent="0.25">
      <c r="A768">
        <v>961</v>
      </c>
      <c r="B768">
        <v>7</v>
      </c>
      <c r="C768">
        <v>88</v>
      </c>
      <c r="D768" t="s">
        <v>89</v>
      </c>
    </row>
    <row r="769" spans="1:4" x14ac:dyDescent="0.25">
      <c r="A769">
        <v>767</v>
      </c>
      <c r="B769">
        <v>60</v>
      </c>
      <c r="C769">
        <v>88</v>
      </c>
      <c r="D769" t="s">
        <v>89</v>
      </c>
    </row>
    <row r="770" spans="1:4" x14ac:dyDescent="0.25">
      <c r="A770">
        <v>772</v>
      </c>
      <c r="B770">
        <v>7</v>
      </c>
      <c r="C770">
        <v>88</v>
      </c>
      <c r="D770" t="s">
        <v>89</v>
      </c>
    </row>
    <row r="771" spans="1:4" x14ac:dyDescent="0.25">
      <c r="A771">
        <v>778</v>
      </c>
      <c r="B771">
        <v>7</v>
      </c>
      <c r="C771">
        <v>88</v>
      </c>
      <c r="D771" t="s">
        <v>89</v>
      </c>
    </row>
    <row r="772" spans="1:4" x14ac:dyDescent="0.25">
      <c r="A772">
        <v>782</v>
      </c>
      <c r="B772">
        <v>60</v>
      </c>
      <c r="C772">
        <v>88</v>
      </c>
      <c r="D772" t="s">
        <v>89</v>
      </c>
    </row>
    <row r="773" spans="1:4" x14ac:dyDescent="0.25">
      <c r="A773">
        <v>795</v>
      </c>
      <c r="B773">
        <v>60</v>
      </c>
      <c r="C773">
        <v>88</v>
      </c>
      <c r="D773" t="s">
        <v>89</v>
      </c>
    </row>
    <row r="774" spans="1:4" x14ac:dyDescent="0.25">
      <c r="A774">
        <v>790</v>
      </c>
      <c r="B774">
        <v>60</v>
      </c>
      <c r="C774">
        <v>86</v>
      </c>
      <c r="D774" t="s">
        <v>89</v>
      </c>
    </row>
    <row r="775" spans="1:4" x14ac:dyDescent="0.25">
      <c r="A775">
        <v>760</v>
      </c>
      <c r="B775">
        <v>60</v>
      </c>
      <c r="C775">
        <v>86</v>
      </c>
      <c r="D775" t="s">
        <v>89</v>
      </c>
    </row>
    <row r="776" spans="1:4" x14ac:dyDescent="0.25">
      <c r="A776">
        <v>973</v>
      </c>
      <c r="B776">
        <v>60</v>
      </c>
      <c r="C776">
        <v>86</v>
      </c>
      <c r="D776" t="s">
        <v>89</v>
      </c>
    </row>
    <row r="777" spans="1:4" x14ac:dyDescent="0.25">
      <c r="A777">
        <v>979</v>
      </c>
      <c r="B777">
        <v>7</v>
      </c>
      <c r="C777">
        <v>86</v>
      </c>
      <c r="D777" t="s">
        <v>89</v>
      </c>
    </row>
    <row r="778" spans="1:4" x14ac:dyDescent="0.25">
      <c r="A778">
        <v>981</v>
      </c>
      <c r="B778">
        <v>7</v>
      </c>
      <c r="C778">
        <v>86</v>
      </c>
      <c r="D778" t="s">
        <v>89</v>
      </c>
    </row>
    <row r="779" spans="1:4" x14ac:dyDescent="0.25">
      <c r="A779">
        <v>966</v>
      </c>
      <c r="B779">
        <v>60</v>
      </c>
      <c r="C779">
        <v>86</v>
      </c>
      <c r="D779" t="s">
        <v>89</v>
      </c>
    </row>
    <row r="780" spans="1:4" x14ac:dyDescent="0.25">
      <c r="A780">
        <v>990</v>
      </c>
      <c r="B780">
        <v>7</v>
      </c>
      <c r="C780">
        <v>86</v>
      </c>
      <c r="D780" t="s">
        <v>89</v>
      </c>
    </row>
    <row r="781" spans="1:4" x14ac:dyDescent="0.25">
      <c r="A781">
        <v>959</v>
      </c>
      <c r="B781">
        <v>7</v>
      </c>
      <c r="C781">
        <v>83</v>
      </c>
      <c r="D781" t="s">
        <v>89</v>
      </c>
    </row>
    <row r="782" spans="1:4" x14ac:dyDescent="0.25">
      <c r="A782">
        <v>954</v>
      </c>
      <c r="B782">
        <v>60</v>
      </c>
      <c r="C782">
        <v>83</v>
      </c>
      <c r="D782" t="s">
        <v>89</v>
      </c>
    </row>
    <row r="783" spans="1:4" x14ac:dyDescent="0.25">
      <c r="A783">
        <v>754</v>
      </c>
      <c r="B783">
        <v>60</v>
      </c>
      <c r="C783">
        <v>83</v>
      </c>
      <c r="D783" t="s">
        <v>89</v>
      </c>
    </row>
    <row r="784" spans="1:4" x14ac:dyDescent="0.25">
      <c r="A784">
        <v>783</v>
      </c>
      <c r="B784">
        <v>60</v>
      </c>
      <c r="C784">
        <v>83</v>
      </c>
      <c r="D784" t="s">
        <v>89</v>
      </c>
    </row>
    <row r="785" spans="1:4" x14ac:dyDescent="0.25">
      <c r="A785">
        <v>773</v>
      </c>
      <c r="B785">
        <v>7</v>
      </c>
      <c r="C785">
        <v>83</v>
      </c>
      <c r="D785" t="s">
        <v>89</v>
      </c>
    </row>
    <row r="786" spans="1:4" x14ac:dyDescent="0.25">
      <c r="A786">
        <v>796</v>
      </c>
      <c r="B786">
        <v>60</v>
      </c>
      <c r="C786">
        <v>83</v>
      </c>
      <c r="D786" t="s">
        <v>89</v>
      </c>
    </row>
    <row r="787" spans="1:4" x14ac:dyDescent="0.25">
      <c r="A787">
        <v>797</v>
      </c>
      <c r="B787">
        <v>60</v>
      </c>
      <c r="C787">
        <v>81</v>
      </c>
      <c r="D787" t="s">
        <v>89</v>
      </c>
    </row>
    <row r="788" spans="1:4" x14ac:dyDescent="0.25">
      <c r="A788">
        <v>791</v>
      </c>
      <c r="B788">
        <v>60</v>
      </c>
      <c r="C788">
        <v>81</v>
      </c>
      <c r="D788" t="s">
        <v>89</v>
      </c>
    </row>
    <row r="789" spans="1:4" x14ac:dyDescent="0.25">
      <c r="A789">
        <v>768</v>
      </c>
      <c r="B789">
        <v>60</v>
      </c>
      <c r="C789">
        <v>81</v>
      </c>
      <c r="D789" t="s">
        <v>89</v>
      </c>
    </row>
    <row r="790" spans="1:4" x14ac:dyDescent="0.25">
      <c r="A790">
        <v>761</v>
      </c>
      <c r="B790">
        <v>60</v>
      </c>
      <c r="C790">
        <v>81</v>
      </c>
      <c r="D790" t="s">
        <v>89</v>
      </c>
    </row>
    <row r="791" spans="1:4" x14ac:dyDescent="0.25">
      <c r="A791">
        <v>944</v>
      </c>
      <c r="B791">
        <v>50</v>
      </c>
      <c r="C791">
        <v>81</v>
      </c>
      <c r="D791" t="s">
        <v>89</v>
      </c>
    </row>
    <row r="792" spans="1:4" x14ac:dyDescent="0.25">
      <c r="A792">
        <v>991</v>
      </c>
      <c r="B792">
        <v>7</v>
      </c>
      <c r="C792">
        <v>81</v>
      </c>
      <c r="D792" t="s">
        <v>89</v>
      </c>
    </row>
    <row r="793" spans="1:4" x14ac:dyDescent="0.25">
      <c r="A793">
        <v>984</v>
      </c>
      <c r="B793">
        <v>7</v>
      </c>
      <c r="C793">
        <v>81</v>
      </c>
      <c r="D793" t="s">
        <v>89</v>
      </c>
    </row>
    <row r="794" spans="1:4" x14ac:dyDescent="0.25">
      <c r="A794">
        <v>964</v>
      </c>
      <c r="B794">
        <v>7</v>
      </c>
      <c r="C794">
        <v>81</v>
      </c>
      <c r="D794" t="s">
        <v>89</v>
      </c>
    </row>
    <row r="795" spans="1:4" x14ac:dyDescent="0.25">
      <c r="A795">
        <v>967</v>
      </c>
      <c r="B795">
        <v>60</v>
      </c>
      <c r="C795">
        <v>81</v>
      </c>
      <c r="D795" t="s">
        <v>89</v>
      </c>
    </row>
    <row r="796" spans="1:4" x14ac:dyDescent="0.25">
      <c r="A796">
        <v>982</v>
      </c>
      <c r="B796">
        <v>7</v>
      </c>
      <c r="C796">
        <v>81</v>
      </c>
      <c r="D796" t="s">
        <v>89</v>
      </c>
    </row>
    <row r="797" spans="1:4" x14ac:dyDescent="0.25">
      <c r="A797">
        <v>974</v>
      </c>
      <c r="B797">
        <v>60</v>
      </c>
      <c r="C797">
        <v>81</v>
      </c>
      <c r="D797" t="s">
        <v>89</v>
      </c>
    </row>
    <row r="798" spans="1:4" x14ac:dyDescent="0.25">
      <c r="A798">
        <v>961</v>
      </c>
      <c r="B798">
        <v>60</v>
      </c>
      <c r="C798">
        <v>80</v>
      </c>
      <c r="D798" t="s">
        <v>89</v>
      </c>
    </row>
    <row r="799" spans="1:4" x14ac:dyDescent="0.25">
      <c r="A799">
        <v>979</v>
      </c>
      <c r="B799">
        <v>60</v>
      </c>
      <c r="C799">
        <v>78</v>
      </c>
      <c r="D799" t="s">
        <v>89</v>
      </c>
    </row>
    <row r="800" spans="1:4" x14ac:dyDescent="0.25">
      <c r="A800">
        <v>988</v>
      </c>
      <c r="B800">
        <v>7</v>
      </c>
      <c r="C800">
        <v>78</v>
      </c>
      <c r="D800" t="s">
        <v>89</v>
      </c>
    </row>
    <row r="801" spans="1:4" x14ac:dyDescent="0.25">
      <c r="A801">
        <v>999</v>
      </c>
      <c r="B801">
        <v>7</v>
      </c>
      <c r="C801">
        <v>78</v>
      </c>
      <c r="D801" t="s">
        <v>89</v>
      </c>
    </row>
    <row r="802" spans="1:4" x14ac:dyDescent="0.25">
      <c r="A802">
        <v>765</v>
      </c>
      <c r="B802">
        <v>60</v>
      </c>
      <c r="C802">
        <v>78</v>
      </c>
      <c r="D802" t="s">
        <v>89</v>
      </c>
    </row>
    <row r="803" spans="1:4" x14ac:dyDescent="0.25">
      <c r="A803">
        <v>757</v>
      </c>
      <c r="B803">
        <v>60</v>
      </c>
      <c r="C803">
        <v>78</v>
      </c>
      <c r="D803" t="s">
        <v>89</v>
      </c>
    </row>
    <row r="804" spans="1:4" x14ac:dyDescent="0.25">
      <c r="A804">
        <v>776</v>
      </c>
      <c r="B804">
        <v>7</v>
      </c>
      <c r="C804">
        <v>78</v>
      </c>
      <c r="D804" t="s">
        <v>89</v>
      </c>
    </row>
    <row r="805" spans="1:4" x14ac:dyDescent="0.25">
      <c r="A805">
        <v>793</v>
      </c>
      <c r="B805">
        <v>60</v>
      </c>
      <c r="C805">
        <v>78</v>
      </c>
      <c r="D805" t="s">
        <v>89</v>
      </c>
    </row>
    <row r="806" spans="1:4" x14ac:dyDescent="0.25">
      <c r="A806">
        <v>801</v>
      </c>
      <c r="B806">
        <v>60</v>
      </c>
      <c r="C806">
        <v>78</v>
      </c>
      <c r="D806" t="s">
        <v>89</v>
      </c>
    </row>
    <row r="807" spans="1:4" x14ac:dyDescent="0.25">
      <c r="A807">
        <v>788</v>
      </c>
      <c r="B807">
        <v>60</v>
      </c>
      <c r="C807">
        <v>76</v>
      </c>
      <c r="D807" t="s">
        <v>89</v>
      </c>
    </row>
    <row r="808" spans="1:4" x14ac:dyDescent="0.25">
      <c r="A808">
        <v>752</v>
      </c>
      <c r="B808">
        <v>60</v>
      </c>
      <c r="C808">
        <v>76</v>
      </c>
      <c r="D808" t="s">
        <v>89</v>
      </c>
    </row>
    <row r="809" spans="1:4" x14ac:dyDescent="0.25">
      <c r="A809">
        <v>773</v>
      </c>
      <c r="B809">
        <v>60</v>
      </c>
      <c r="C809">
        <v>75</v>
      </c>
      <c r="D809" t="s">
        <v>89</v>
      </c>
    </row>
    <row r="810" spans="1:4" x14ac:dyDescent="0.25">
      <c r="A810">
        <v>779</v>
      </c>
      <c r="B810">
        <v>7</v>
      </c>
      <c r="C810">
        <v>75</v>
      </c>
      <c r="D810" t="s">
        <v>89</v>
      </c>
    </row>
    <row r="811" spans="1:4" x14ac:dyDescent="0.25">
      <c r="A811">
        <v>784</v>
      </c>
      <c r="B811">
        <v>7</v>
      </c>
      <c r="C811">
        <v>75</v>
      </c>
      <c r="D811" t="s">
        <v>89</v>
      </c>
    </row>
    <row r="812" spans="1:4" x14ac:dyDescent="0.25">
      <c r="A812">
        <v>785</v>
      </c>
      <c r="B812">
        <v>7</v>
      </c>
      <c r="C812">
        <v>75</v>
      </c>
      <c r="D812" t="s">
        <v>89</v>
      </c>
    </row>
    <row r="813" spans="1:4" x14ac:dyDescent="0.25">
      <c r="A813">
        <v>755</v>
      </c>
      <c r="B813">
        <v>7</v>
      </c>
      <c r="C813">
        <v>75</v>
      </c>
      <c r="D813" t="s">
        <v>89</v>
      </c>
    </row>
    <row r="814" spans="1:4" x14ac:dyDescent="0.25">
      <c r="A814">
        <v>762</v>
      </c>
      <c r="B814">
        <v>7</v>
      </c>
      <c r="C814">
        <v>75</v>
      </c>
      <c r="D814" t="s">
        <v>89</v>
      </c>
    </row>
    <row r="815" spans="1:4" x14ac:dyDescent="0.25">
      <c r="A815">
        <v>955</v>
      </c>
      <c r="B815">
        <v>7</v>
      </c>
      <c r="C815">
        <v>75</v>
      </c>
      <c r="D815" t="s">
        <v>89</v>
      </c>
    </row>
    <row r="816" spans="1:4" x14ac:dyDescent="0.25">
      <c r="A816">
        <v>984</v>
      </c>
      <c r="B816">
        <v>60</v>
      </c>
      <c r="C816">
        <v>73</v>
      </c>
      <c r="D816" t="s">
        <v>89</v>
      </c>
    </row>
    <row r="817" spans="1:4" x14ac:dyDescent="0.25">
      <c r="A817">
        <v>991</v>
      </c>
      <c r="B817">
        <v>60</v>
      </c>
      <c r="C817">
        <v>73</v>
      </c>
      <c r="D817" t="s">
        <v>89</v>
      </c>
    </row>
    <row r="818" spans="1:4" x14ac:dyDescent="0.25">
      <c r="A818">
        <v>982</v>
      </c>
      <c r="B818">
        <v>60</v>
      </c>
      <c r="C818">
        <v>73</v>
      </c>
      <c r="D818" t="s">
        <v>89</v>
      </c>
    </row>
    <row r="819" spans="1:4" x14ac:dyDescent="0.25">
      <c r="A819">
        <v>975</v>
      </c>
      <c r="B819">
        <v>7</v>
      </c>
      <c r="C819">
        <v>73</v>
      </c>
      <c r="D819" t="s">
        <v>89</v>
      </c>
    </row>
    <row r="820" spans="1:4" x14ac:dyDescent="0.25">
      <c r="A820">
        <v>968</v>
      </c>
      <c r="B820">
        <v>7</v>
      </c>
      <c r="C820">
        <v>73</v>
      </c>
      <c r="D820" t="s">
        <v>89</v>
      </c>
    </row>
    <row r="821" spans="1:4" x14ac:dyDescent="0.25">
      <c r="A821">
        <v>970</v>
      </c>
      <c r="B821">
        <v>7</v>
      </c>
      <c r="C821">
        <v>73</v>
      </c>
      <c r="D821" t="s">
        <v>89</v>
      </c>
    </row>
    <row r="822" spans="1:4" x14ac:dyDescent="0.25">
      <c r="A822">
        <v>769</v>
      </c>
      <c r="B822">
        <v>7</v>
      </c>
      <c r="C822">
        <v>73</v>
      </c>
      <c r="D822" t="s">
        <v>89</v>
      </c>
    </row>
    <row r="823" spans="1:4" x14ac:dyDescent="0.25">
      <c r="A823">
        <v>749</v>
      </c>
      <c r="B823">
        <v>7</v>
      </c>
      <c r="C823">
        <v>73</v>
      </c>
      <c r="D823" t="s">
        <v>89</v>
      </c>
    </row>
    <row r="824" spans="1:4" x14ac:dyDescent="0.25">
      <c r="A824">
        <v>798</v>
      </c>
      <c r="B824">
        <v>7</v>
      </c>
      <c r="C824">
        <v>73</v>
      </c>
      <c r="D824" t="s">
        <v>89</v>
      </c>
    </row>
    <row r="825" spans="1:4" x14ac:dyDescent="0.25">
      <c r="A825">
        <v>842</v>
      </c>
      <c r="B825">
        <v>7</v>
      </c>
      <c r="C825">
        <v>72</v>
      </c>
      <c r="D825" t="s">
        <v>89</v>
      </c>
    </row>
    <row r="826" spans="1:4" x14ac:dyDescent="0.25">
      <c r="A826">
        <v>861</v>
      </c>
      <c r="B826">
        <v>7</v>
      </c>
      <c r="C826">
        <v>72</v>
      </c>
      <c r="D826" t="s">
        <v>89</v>
      </c>
    </row>
    <row r="827" spans="1:4" x14ac:dyDescent="0.25">
      <c r="A827">
        <v>855</v>
      </c>
      <c r="B827">
        <v>7</v>
      </c>
      <c r="C827">
        <v>72</v>
      </c>
      <c r="D827" t="s">
        <v>89</v>
      </c>
    </row>
    <row r="828" spans="1:4" x14ac:dyDescent="0.25">
      <c r="A828">
        <v>965</v>
      </c>
      <c r="B828">
        <v>60</v>
      </c>
      <c r="C828">
        <v>72</v>
      </c>
      <c r="D828" t="s">
        <v>89</v>
      </c>
    </row>
    <row r="829" spans="1:4" x14ac:dyDescent="0.25">
      <c r="A829">
        <v>978</v>
      </c>
      <c r="B829">
        <v>60</v>
      </c>
      <c r="C829">
        <v>72</v>
      </c>
      <c r="D829" t="s">
        <v>89</v>
      </c>
    </row>
    <row r="830" spans="1:4" x14ac:dyDescent="0.25">
      <c r="A830">
        <v>884</v>
      </c>
      <c r="B830">
        <v>7</v>
      </c>
      <c r="C830">
        <v>72</v>
      </c>
      <c r="D830" t="s">
        <v>89</v>
      </c>
    </row>
    <row r="831" spans="1:4" x14ac:dyDescent="0.25">
      <c r="A831">
        <v>962</v>
      </c>
      <c r="B831">
        <v>7</v>
      </c>
      <c r="C831">
        <v>67</v>
      </c>
      <c r="D831" t="s">
        <v>89</v>
      </c>
    </row>
    <row r="832" spans="1:4" x14ac:dyDescent="0.25">
      <c r="A832">
        <v>981</v>
      </c>
      <c r="B832">
        <v>60</v>
      </c>
      <c r="C832">
        <v>67</v>
      </c>
      <c r="D832" t="s">
        <v>89</v>
      </c>
    </row>
    <row r="833" spans="1:4" x14ac:dyDescent="0.25">
      <c r="A833">
        <v>974</v>
      </c>
      <c r="B833">
        <v>7</v>
      </c>
      <c r="C833">
        <v>67</v>
      </c>
      <c r="D833" t="s">
        <v>89</v>
      </c>
    </row>
    <row r="834" spans="1:4" x14ac:dyDescent="0.25">
      <c r="A834">
        <v>967</v>
      </c>
      <c r="B834">
        <v>7</v>
      </c>
      <c r="C834">
        <v>67</v>
      </c>
      <c r="D834" t="s">
        <v>89</v>
      </c>
    </row>
    <row r="835" spans="1:4" x14ac:dyDescent="0.25">
      <c r="A835">
        <v>990</v>
      </c>
      <c r="B835">
        <v>60</v>
      </c>
      <c r="C835">
        <v>67</v>
      </c>
      <c r="D835" t="s">
        <v>89</v>
      </c>
    </row>
    <row r="836" spans="1:4" x14ac:dyDescent="0.25">
      <c r="A836">
        <v>797</v>
      </c>
      <c r="B836">
        <v>7</v>
      </c>
      <c r="C836">
        <v>67</v>
      </c>
      <c r="D836" t="s">
        <v>89</v>
      </c>
    </row>
    <row r="837" spans="1:4" x14ac:dyDescent="0.25">
      <c r="A837">
        <v>791</v>
      </c>
      <c r="B837">
        <v>7</v>
      </c>
      <c r="C837">
        <v>67</v>
      </c>
      <c r="D837" t="s">
        <v>89</v>
      </c>
    </row>
    <row r="838" spans="1:4" x14ac:dyDescent="0.25">
      <c r="A838">
        <v>768</v>
      </c>
      <c r="B838">
        <v>7</v>
      </c>
      <c r="C838">
        <v>67</v>
      </c>
      <c r="D838" t="s">
        <v>89</v>
      </c>
    </row>
    <row r="839" spans="1:4" x14ac:dyDescent="0.25">
      <c r="A839">
        <v>761</v>
      </c>
      <c r="B839">
        <v>7</v>
      </c>
      <c r="C839">
        <v>67</v>
      </c>
      <c r="D839" t="s">
        <v>89</v>
      </c>
    </row>
    <row r="840" spans="1:4" x14ac:dyDescent="0.25">
      <c r="A840">
        <v>754</v>
      </c>
      <c r="B840">
        <v>7</v>
      </c>
      <c r="C840">
        <v>65</v>
      </c>
      <c r="D840" t="s">
        <v>89</v>
      </c>
    </row>
    <row r="841" spans="1:4" x14ac:dyDescent="0.25">
      <c r="A841">
        <v>783</v>
      </c>
      <c r="B841">
        <v>7</v>
      </c>
      <c r="C841">
        <v>65</v>
      </c>
      <c r="D841" t="s">
        <v>89</v>
      </c>
    </row>
    <row r="842" spans="1:4" x14ac:dyDescent="0.25">
      <c r="A842">
        <v>778</v>
      </c>
      <c r="B842">
        <v>60</v>
      </c>
      <c r="C842">
        <v>65</v>
      </c>
      <c r="D842" t="s">
        <v>89</v>
      </c>
    </row>
    <row r="843" spans="1:4" x14ac:dyDescent="0.25">
      <c r="A843">
        <v>772</v>
      </c>
      <c r="B843">
        <v>60</v>
      </c>
      <c r="C843">
        <v>65</v>
      </c>
      <c r="D843" t="s">
        <v>89</v>
      </c>
    </row>
    <row r="844" spans="1:4" x14ac:dyDescent="0.25">
      <c r="A844">
        <v>796</v>
      </c>
      <c r="B844">
        <v>7</v>
      </c>
      <c r="C844">
        <v>65</v>
      </c>
      <c r="D844" t="s">
        <v>89</v>
      </c>
    </row>
    <row r="845" spans="1:4" x14ac:dyDescent="0.25">
      <c r="A845">
        <v>977</v>
      </c>
      <c r="B845">
        <v>60</v>
      </c>
      <c r="C845">
        <v>65</v>
      </c>
      <c r="D845" t="s">
        <v>89</v>
      </c>
    </row>
    <row r="846" spans="1:4" x14ac:dyDescent="0.25">
      <c r="A846">
        <v>954</v>
      </c>
      <c r="B846">
        <v>7</v>
      </c>
      <c r="C846">
        <v>65</v>
      </c>
      <c r="D846" t="s">
        <v>89</v>
      </c>
    </row>
    <row r="847" spans="1:4" x14ac:dyDescent="0.25">
      <c r="A847">
        <v>955</v>
      </c>
      <c r="B847">
        <v>60</v>
      </c>
      <c r="C847">
        <v>62</v>
      </c>
      <c r="D847" t="s">
        <v>89</v>
      </c>
    </row>
    <row r="848" spans="1:4" x14ac:dyDescent="0.25">
      <c r="A848">
        <v>774</v>
      </c>
      <c r="B848">
        <v>7</v>
      </c>
      <c r="C848">
        <v>62</v>
      </c>
      <c r="D848" t="s">
        <v>89</v>
      </c>
    </row>
    <row r="849" spans="1:4" x14ac:dyDescent="0.25">
      <c r="A849">
        <v>779</v>
      </c>
      <c r="B849">
        <v>60</v>
      </c>
      <c r="C849">
        <v>62</v>
      </c>
      <c r="D849" t="s">
        <v>89</v>
      </c>
    </row>
    <row r="850" spans="1:4" x14ac:dyDescent="0.25">
      <c r="A850">
        <v>785</v>
      </c>
      <c r="B850">
        <v>60</v>
      </c>
      <c r="C850">
        <v>62</v>
      </c>
      <c r="D850" t="s">
        <v>89</v>
      </c>
    </row>
    <row r="851" spans="1:4" x14ac:dyDescent="0.25">
      <c r="A851">
        <v>784</v>
      </c>
      <c r="B851">
        <v>60</v>
      </c>
      <c r="C851">
        <v>62</v>
      </c>
      <c r="D851" t="s">
        <v>89</v>
      </c>
    </row>
    <row r="852" spans="1:4" x14ac:dyDescent="0.25">
      <c r="A852">
        <v>755</v>
      </c>
      <c r="B852">
        <v>60</v>
      </c>
      <c r="C852">
        <v>62</v>
      </c>
      <c r="D852" t="s">
        <v>89</v>
      </c>
    </row>
    <row r="853" spans="1:4" x14ac:dyDescent="0.25">
      <c r="A853">
        <v>762</v>
      </c>
      <c r="B853">
        <v>60</v>
      </c>
      <c r="C853">
        <v>62</v>
      </c>
      <c r="D853" t="s">
        <v>89</v>
      </c>
    </row>
    <row r="854" spans="1:4" x14ac:dyDescent="0.25">
      <c r="A854">
        <v>769</v>
      </c>
      <c r="B854">
        <v>60</v>
      </c>
      <c r="C854">
        <v>60</v>
      </c>
      <c r="D854" t="s">
        <v>89</v>
      </c>
    </row>
    <row r="855" spans="1:4" x14ac:dyDescent="0.25">
      <c r="A855">
        <v>749</v>
      </c>
      <c r="B855">
        <v>60</v>
      </c>
      <c r="C855">
        <v>60</v>
      </c>
      <c r="D855" t="s">
        <v>89</v>
      </c>
    </row>
    <row r="856" spans="1:4" x14ac:dyDescent="0.25">
      <c r="A856">
        <v>798</v>
      </c>
      <c r="B856">
        <v>60</v>
      </c>
      <c r="C856">
        <v>60</v>
      </c>
      <c r="D856" t="s">
        <v>89</v>
      </c>
    </row>
    <row r="857" spans="1:4" x14ac:dyDescent="0.25">
      <c r="A857">
        <v>975</v>
      </c>
      <c r="B857">
        <v>60</v>
      </c>
      <c r="C857">
        <v>60</v>
      </c>
      <c r="D857" t="s">
        <v>89</v>
      </c>
    </row>
    <row r="858" spans="1:4" x14ac:dyDescent="0.25">
      <c r="A858">
        <v>983</v>
      </c>
      <c r="B858">
        <v>7</v>
      </c>
      <c r="C858">
        <v>60</v>
      </c>
      <c r="D858" t="s">
        <v>89</v>
      </c>
    </row>
    <row r="859" spans="1:4" x14ac:dyDescent="0.25">
      <c r="A859">
        <v>970</v>
      </c>
      <c r="B859">
        <v>60</v>
      </c>
      <c r="C859">
        <v>60</v>
      </c>
      <c r="D859" t="s">
        <v>89</v>
      </c>
    </row>
    <row r="860" spans="1:4" x14ac:dyDescent="0.25">
      <c r="A860">
        <v>968</v>
      </c>
      <c r="B860">
        <v>60</v>
      </c>
      <c r="C860">
        <v>60</v>
      </c>
      <c r="D860" t="s">
        <v>89</v>
      </c>
    </row>
    <row r="861" spans="1:4" x14ac:dyDescent="0.25">
      <c r="A861">
        <v>992</v>
      </c>
      <c r="B861">
        <v>7</v>
      </c>
      <c r="C861">
        <v>60</v>
      </c>
      <c r="D861" t="s">
        <v>89</v>
      </c>
    </row>
    <row r="862" spans="1:4" x14ac:dyDescent="0.25">
      <c r="A862">
        <v>985</v>
      </c>
      <c r="B862">
        <v>7</v>
      </c>
      <c r="C862">
        <v>60</v>
      </c>
      <c r="D862" t="s">
        <v>89</v>
      </c>
    </row>
    <row r="863" spans="1:4" x14ac:dyDescent="0.25">
      <c r="A863">
        <v>987</v>
      </c>
      <c r="B863">
        <v>60</v>
      </c>
      <c r="C863">
        <v>56</v>
      </c>
      <c r="D863" t="s">
        <v>89</v>
      </c>
    </row>
    <row r="864" spans="1:4" x14ac:dyDescent="0.25">
      <c r="A864">
        <v>998</v>
      </c>
      <c r="B864">
        <v>60</v>
      </c>
      <c r="C864">
        <v>56</v>
      </c>
      <c r="D864" t="s">
        <v>89</v>
      </c>
    </row>
    <row r="865" spans="1:4" x14ac:dyDescent="0.25">
      <c r="A865">
        <v>793</v>
      </c>
      <c r="B865">
        <v>7</v>
      </c>
      <c r="C865">
        <v>56</v>
      </c>
      <c r="D865" t="s">
        <v>89</v>
      </c>
    </row>
    <row r="866" spans="1:4" x14ac:dyDescent="0.25">
      <c r="A866">
        <v>801</v>
      </c>
      <c r="B866">
        <v>7</v>
      </c>
      <c r="C866">
        <v>56</v>
      </c>
      <c r="D866" t="s">
        <v>89</v>
      </c>
    </row>
    <row r="867" spans="1:4" x14ac:dyDescent="0.25">
      <c r="A867">
        <v>765</v>
      </c>
      <c r="B867">
        <v>7</v>
      </c>
      <c r="C867">
        <v>56</v>
      </c>
      <c r="D867" t="s">
        <v>89</v>
      </c>
    </row>
    <row r="868" spans="1:4" x14ac:dyDescent="0.25">
      <c r="A868">
        <v>757</v>
      </c>
      <c r="B868">
        <v>7</v>
      </c>
      <c r="C868">
        <v>56</v>
      </c>
      <c r="D868" t="s">
        <v>89</v>
      </c>
    </row>
    <row r="869" spans="1:4" x14ac:dyDescent="0.25">
      <c r="A869">
        <v>775</v>
      </c>
      <c r="B869">
        <v>60</v>
      </c>
      <c r="C869">
        <v>56</v>
      </c>
      <c r="D869" t="s">
        <v>89</v>
      </c>
    </row>
    <row r="870" spans="1:4" x14ac:dyDescent="0.25">
      <c r="A870">
        <v>960</v>
      </c>
      <c r="B870">
        <v>7</v>
      </c>
      <c r="C870">
        <v>54</v>
      </c>
      <c r="D870" t="s">
        <v>89</v>
      </c>
    </row>
    <row r="871" spans="1:4" x14ac:dyDescent="0.25">
      <c r="A871">
        <v>788</v>
      </c>
      <c r="B871">
        <v>7</v>
      </c>
      <c r="C871">
        <v>52</v>
      </c>
      <c r="D871" t="s">
        <v>89</v>
      </c>
    </row>
    <row r="872" spans="1:4" x14ac:dyDescent="0.25">
      <c r="A872">
        <v>752</v>
      </c>
      <c r="B872">
        <v>7</v>
      </c>
      <c r="C872">
        <v>52</v>
      </c>
      <c r="D872" t="s">
        <v>89</v>
      </c>
    </row>
    <row r="873" spans="1:4" x14ac:dyDescent="0.25">
      <c r="A873">
        <v>789</v>
      </c>
      <c r="B873">
        <v>60</v>
      </c>
      <c r="C873">
        <v>51</v>
      </c>
      <c r="D873" t="s">
        <v>89</v>
      </c>
    </row>
    <row r="874" spans="1:4" x14ac:dyDescent="0.25">
      <c r="A874">
        <v>753</v>
      </c>
      <c r="B874">
        <v>60</v>
      </c>
      <c r="C874">
        <v>51</v>
      </c>
      <c r="D874" t="s">
        <v>89</v>
      </c>
    </row>
    <row r="875" spans="1:4" x14ac:dyDescent="0.25">
      <c r="A875">
        <v>759</v>
      </c>
      <c r="B875">
        <v>60</v>
      </c>
      <c r="C875">
        <v>51</v>
      </c>
      <c r="D875" t="s">
        <v>89</v>
      </c>
    </row>
    <row r="876" spans="1:4" x14ac:dyDescent="0.25">
      <c r="A876">
        <v>957</v>
      </c>
      <c r="B876">
        <v>7</v>
      </c>
      <c r="C876">
        <v>51</v>
      </c>
      <c r="D876" t="s">
        <v>89</v>
      </c>
    </row>
    <row r="877" spans="1:4" x14ac:dyDescent="0.25">
      <c r="A877">
        <v>989</v>
      </c>
      <c r="B877">
        <v>7</v>
      </c>
      <c r="C877">
        <v>51</v>
      </c>
      <c r="D877" t="s">
        <v>89</v>
      </c>
    </row>
    <row r="878" spans="1:4" x14ac:dyDescent="0.25">
      <c r="A878">
        <v>980</v>
      </c>
      <c r="B878">
        <v>7</v>
      </c>
      <c r="C878">
        <v>51</v>
      </c>
      <c r="D878" t="s">
        <v>89</v>
      </c>
    </row>
    <row r="879" spans="1:4" x14ac:dyDescent="0.25">
      <c r="A879">
        <v>953</v>
      </c>
      <c r="B879">
        <v>60</v>
      </c>
      <c r="C879">
        <v>49</v>
      </c>
      <c r="D879" t="s">
        <v>89</v>
      </c>
    </row>
    <row r="880" spans="1:4" x14ac:dyDescent="0.25">
      <c r="A880">
        <v>758</v>
      </c>
      <c r="B880">
        <v>60</v>
      </c>
      <c r="C880">
        <v>49</v>
      </c>
      <c r="D880" t="s">
        <v>89</v>
      </c>
    </row>
    <row r="881" spans="1:4" x14ac:dyDescent="0.25">
      <c r="A881">
        <v>771</v>
      </c>
      <c r="B881">
        <v>7</v>
      </c>
      <c r="C881">
        <v>49</v>
      </c>
      <c r="D881" t="s">
        <v>89</v>
      </c>
    </row>
    <row r="882" spans="1:4" x14ac:dyDescent="0.25">
      <c r="A882">
        <v>766</v>
      </c>
      <c r="B882">
        <v>60</v>
      </c>
      <c r="C882">
        <v>49</v>
      </c>
      <c r="D882" t="s">
        <v>89</v>
      </c>
    </row>
    <row r="883" spans="1:4" x14ac:dyDescent="0.25">
      <c r="A883">
        <v>777</v>
      </c>
      <c r="B883">
        <v>7</v>
      </c>
      <c r="C883">
        <v>49</v>
      </c>
      <c r="D883" t="s">
        <v>89</v>
      </c>
    </row>
    <row r="884" spans="1:4" x14ac:dyDescent="0.25">
      <c r="A884">
        <v>794</v>
      </c>
      <c r="B884">
        <v>60</v>
      </c>
      <c r="C884">
        <v>49</v>
      </c>
      <c r="D884" t="s">
        <v>89</v>
      </c>
    </row>
    <row r="885" spans="1:4" x14ac:dyDescent="0.25">
      <c r="A885">
        <v>956</v>
      </c>
      <c r="B885">
        <v>60</v>
      </c>
      <c r="C885">
        <v>40</v>
      </c>
      <c r="D885" t="s">
        <v>89</v>
      </c>
    </row>
    <row r="886" spans="1:4" x14ac:dyDescent="0.25">
      <c r="A886">
        <v>883</v>
      </c>
      <c r="B886">
        <v>7</v>
      </c>
      <c r="C886">
        <v>36</v>
      </c>
      <c r="D886" t="s">
        <v>89</v>
      </c>
    </row>
    <row r="887" spans="1:4" x14ac:dyDescent="0.25">
      <c r="A887">
        <v>877</v>
      </c>
      <c r="B887">
        <v>7</v>
      </c>
      <c r="C887">
        <v>36</v>
      </c>
      <c r="D887" t="s">
        <v>89</v>
      </c>
    </row>
    <row r="888" spans="1:4" x14ac:dyDescent="0.25">
      <c r="A888">
        <v>963</v>
      </c>
      <c r="B888">
        <v>60</v>
      </c>
      <c r="C888">
        <v>36</v>
      </c>
      <c r="D888" t="s">
        <v>89</v>
      </c>
    </row>
    <row r="889" spans="1:4" x14ac:dyDescent="0.25">
      <c r="A889">
        <v>854</v>
      </c>
      <c r="B889">
        <v>7</v>
      </c>
      <c r="C889">
        <v>36</v>
      </c>
      <c r="D889" t="s">
        <v>89</v>
      </c>
    </row>
    <row r="890" spans="1:4" x14ac:dyDescent="0.25">
      <c r="A890">
        <v>860</v>
      </c>
      <c r="B890">
        <v>7</v>
      </c>
      <c r="C890">
        <v>36</v>
      </c>
      <c r="D890" t="s">
        <v>89</v>
      </c>
    </row>
    <row r="891" spans="1:4" x14ac:dyDescent="0.25">
      <c r="A891">
        <v>958</v>
      </c>
      <c r="B891">
        <v>60</v>
      </c>
      <c r="C891">
        <v>35</v>
      </c>
      <c r="D891" t="s">
        <v>89</v>
      </c>
    </row>
    <row r="892" spans="1:4" x14ac:dyDescent="0.25">
      <c r="A892">
        <v>956</v>
      </c>
      <c r="B892">
        <v>7</v>
      </c>
      <c r="C892">
        <v>35</v>
      </c>
      <c r="D892" t="s">
        <v>89</v>
      </c>
    </row>
    <row r="893" spans="1:4" x14ac:dyDescent="0.25">
      <c r="A893">
        <v>781</v>
      </c>
      <c r="B893">
        <v>7</v>
      </c>
      <c r="C893">
        <v>32</v>
      </c>
      <c r="D893" t="s">
        <v>89</v>
      </c>
    </row>
    <row r="894" spans="1:4" x14ac:dyDescent="0.25">
      <c r="A894">
        <v>787</v>
      </c>
      <c r="B894">
        <v>7</v>
      </c>
      <c r="C894">
        <v>32</v>
      </c>
      <c r="D894" t="s">
        <v>89</v>
      </c>
    </row>
    <row r="895" spans="1:4" x14ac:dyDescent="0.25">
      <c r="A895">
        <v>764</v>
      </c>
      <c r="B895">
        <v>7</v>
      </c>
      <c r="C895">
        <v>32</v>
      </c>
      <c r="D895" t="s">
        <v>89</v>
      </c>
    </row>
    <row r="896" spans="1:4" x14ac:dyDescent="0.25">
      <c r="A896">
        <v>751</v>
      </c>
      <c r="B896">
        <v>7</v>
      </c>
      <c r="C896">
        <v>32</v>
      </c>
      <c r="D896" t="s">
        <v>89</v>
      </c>
    </row>
    <row r="897" spans="1:4" x14ac:dyDescent="0.25">
      <c r="A897">
        <v>756</v>
      </c>
      <c r="B897">
        <v>7</v>
      </c>
      <c r="C897">
        <v>30</v>
      </c>
      <c r="D897" t="s">
        <v>89</v>
      </c>
    </row>
    <row r="898" spans="1:4" x14ac:dyDescent="0.25">
      <c r="A898">
        <v>800</v>
      </c>
      <c r="B898">
        <v>7</v>
      </c>
      <c r="C898">
        <v>30</v>
      </c>
      <c r="D898" t="s">
        <v>89</v>
      </c>
    </row>
    <row r="899" spans="1:4" x14ac:dyDescent="0.25">
      <c r="A899">
        <v>969</v>
      </c>
      <c r="B899">
        <v>7</v>
      </c>
      <c r="C899">
        <v>30</v>
      </c>
      <c r="D899" t="s">
        <v>89</v>
      </c>
    </row>
    <row r="900" spans="1:4" x14ac:dyDescent="0.25">
      <c r="A900">
        <v>972</v>
      </c>
      <c r="B900">
        <v>7</v>
      </c>
      <c r="C900">
        <v>30</v>
      </c>
      <c r="D900" t="s">
        <v>89</v>
      </c>
    </row>
    <row r="901" spans="1:4" x14ac:dyDescent="0.25">
      <c r="A901">
        <v>986</v>
      </c>
      <c r="B901">
        <v>60</v>
      </c>
      <c r="C901">
        <v>30</v>
      </c>
      <c r="D901" t="s">
        <v>89</v>
      </c>
    </row>
    <row r="902" spans="1:4" x14ac:dyDescent="0.25">
      <c r="A902">
        <v>997</v>
      </c>
      <c r="B902">
        <v>60</v>
      </c>
      <c r="C902">
        <v>30</v>
      </c>
      <c r="D902" t="s">
        <v>89</v>
      </c>
    </row>
    <row r="903" spans="1:4" x14ac:dyDescent="0.25">
      <c r="A903">
        <v>993</v>
      </c>
      <c r="B903">
        <v>60</v>
      </c>
      <c r="C903">
        <v>30</v>
      </c>
      <c r="D903" t="s">
        <v>89</v>
      </c>
    </row>
    <row r="904" spans="1:4" x14ac:dyDescent="0.25">
      <c r="A904">
        <v>876</v>
      </c>
      <c r="B904">
        <v>7</v>
      </c>
      <c r="C904">
        <v>0</v>
      </c>
      <c r="D904" t="s">
        <v>89</v>
      </c>
    </row>
    <row r="905" spans="1:4" x14ac:dyDescent="0.25">
      <c r="A905">
        <v>882</v>
      </c>
      <c r="B905">
        <v>7</v>
      </c>
      <c r="C905">
        <v>0</v>
      </c>
      <c r="D905" t="s">
        <v>89</v>
      </c>
    </row>
    <row r="906" spans="1:4" x14ac:dyDescent="0.25">
      <c r="A906">
        <v>853</v>
      </c>
      <c r="B906">
        <v>7</v>
      </c>
      <c r="C906">
        <v>0</v>
      </c>
      <c r="D906" t="s">
        <v>89</v>
      </c>
    </row>
    <row r="907" spans="1:4" x14ac:dyDescent="0.25">
      <c r="A907">
        <v>859</v>
      </c>
      <c r="B907">
        <v>7</v>
      </c>
      <c r="C907">
        <v>0</v>
      </c>
      <c r="D907" t="s">
        <v>89</v>
      </c>
    </row>
    <row r="908" spans="1:4" x14ac:dyDescent="0.25">
      <c r="A908">
        <v>379</v>
      </c>
      <c r="B908">
        <v>6</v>
      </c>
      <c r="C908">
        <v>897</v>
      </c>
      <c r="D908" t="s">
        <v>560</v>
      </c>
    </row>
    <row r="909" spans="1:4" x14ac:dyDescent="0.25">
      <c r="A909">
        <v>393</v>
      </c>
      <c r="B909">
        <v>6</v>
      </c>
      <c r="C909">
        <v>780</v>
      </c>
      <c r="D909" t="s">
        <v>560</v>
      </c>
    </row>
    <row r="910" spans="1:4" x14ac:dyDescent="0.25">
      <c r="A910">
        <v>387</v>
      </c>
      <c r="B910">
        <v>6</v>
      </c>
      <c r="C910">
        <v>710</v>
      </c>
      <c r="D910" t="s">
        <v>560</v>
      </c>
    </row>
    <row r="911" spans="1:4" x14ac:dyDescent="0.25">
      <c r="A911">
        <v>389</v>
      </c>
      <c r="B911">
        <v>6</v>
      </c>
      <c r="C911">
        <v>691</v>
      </c>
      <c r="D911" t="s">
        <v>560</v>
      </c>
    </row>
    <row r="912" spans="1:4" x14ac:dyDescent="0.25">
      <c r="A912">
        <v>365</v>
      </c>
      <c r="B912">
        <v>6</v>
      </c>
      <c r="C912">
        <v>691</v>
      </c>
      <c r="D912" t="s">
        <v>560</v>
      </c>
    </row>
    <row r="913" spans="1:4" x14ac:dyDescent="0.25">
      <c r="A913">
        <v>367</v>
      </c>
      <c r="B913">
        <v>6</v>
      </c>
      <c r="C913">
        <v>689</v>
      </c>
      <c r="D913" t="s">
        <v>560</v>
      </c>
    </row>
    <row r="914" spans="1:4" x14ac:dyDescent="0.25">
      <c r="A914">
        <v>383</v>
      </c>
      <c r="B914">
        <v>6</v>
      </c>
      <c r="C914">
        <v>676</v>
      </c>
      <c r="D914" t="s">
        <v>560</v>
      </c>
    </row>
    <row r="915" spans="1:4" x14ac:dyDescent="0.25">
      <c r="A915">
        <v>376</v>
      </c>
      <c r="B915">
        <v>6</v>
      </c>
      <c r="C915">
        <v>649</v>
      </c>
      <c r="D915" t="s">
        <v>560</v>
      </c>
    </row>
    <row r="916" spans="1:4" x14ac:dyDescent="0.25">
      <c r="A916">
        <v>371</v>
      </c>
      <c r="B916">
        <v>6</v>
      </c>
      <c r="C916">
        <v>649</v>
      </c>
      <c r="D916" t="s">
        <v>560</v>
      </c>
    </row>
    <row r="917" spans="1:4" x14ac:dyDescent="0.25">
      <c r="A917">
        <v>363</v>
      </c>
      <c r="B917">
        <v>6</v>
      </c>
      <c r="C917">
        <v>643</v>
      </c>
      <c r="D917" t="s">
        <v>560</v>
      </c>
    </row>
    <row r="918" spans="1:4" x14ac:dyDescent="0.25">
      <c r="A918">
        <v>361</v>
      </c>
      <c r="B918">
        <v>6</v>
      </c>
      <c r="C918">
        <v>601</v>
      </c>
      <c r="D918" t="s">
        <v>560</v>
      </c>
    </row>
    <row r="919" spans="1:4" x14ac:dyDescent="0.25">
      <c r="A919">
        <v>396</v>
      </c>
      <c r="B919">
        <v>6</v>
      </c>
      <c r="C919">
        <v>585</v>
      </c>
      <c r="D919" t="s">
        <v>560</v>
      </c>
    </row>
    <row r="920" spans="1:4" x14ac:dyDescent="0.25">
      <c r="A920">
        <v>397</v>
      </c>
      <c r="B920">
        <v>6</v>
      </c>
      <c r="C920">
        <v>550</v>
      </c>
      <c r="D920" t="s">
        <v>560</v>
      </c>
    </row>
    <row r="921" spans="1:4" x14ac:dyDescent="0.25">
      <c r="A921">
        <v>483</v>
      </c>
      <c r="B921">
        <v>5</v>
      </c>
      <c r="C921">
        <v>531</v>
      </c>
      <c r="D921" t="s">
        <v>560</v>
      </c>
    </row>
    <row r="922" spans="1:4" x14ac:dyDescent="0.25">
      <c r="A922">
        <v>385</v>
      </c>
      <c r="B922">
        <v>6</v>
      </c>
      <c r="C922">
        <v>526</v>
      </c>
      <c r="D922" t="s">
        <v>560</v>
      </c>
    </row>
    <row r="923" spans="1:4" x14ac:dyDescent="0.25">
      <c r="A923">
        <v>486</v>
      </c>
      <c r="B923">
        <v>5</v>
      </c>
      <c r="C923">
        <v>515</v>
      </c>
      <c r="D923" t="s">
        <v>560</v>
      </c>
    </row>
    <row r="924" spans="1:4" x14ac:dyDescent="0.25">
      <c r="A924">
        <v>485</v>
      </c>
      <c r="B924">
        <v>5</v>
      </c>
      <c r="C924">
        <v>427</v>
      </c>
      <c r="D924" t="s">
        <v>560</v>
      </c>
    </row>
    <row r="925" spans="1:4" x14ac:dyDescent="0.25">
      <c r="A925">
        <v>482</v>
      </c>
      <c r="B925">
        <v>5</v>
      </c>
      <c r="C925">
        <v>427</v>
      </c>
      <c r="D925" t="s">
        <v>560</v>
      </c>
    </row>
    <row r="926" spans="1:4" x14ac:dyDescent="0.25">
      <c r="A926">
        <v>535</v>
      </c>
      <c r="B926">
        <v>50</v>
      </c>
      <c r="C926">
        <v>409</v>
      </c>
      <c r="D926" t="s">
        <v>560</v>
      </c>
    </row>
    <row r="927" spans="1:4" x14ac:dyDescent="0.25">
      <c r="A927">
        <v>484</v>
      </c>
      <c r="B927">
        <v>5</v>
      </c>
      <c r="C927">
        <v>374</v>
      </c>
      <c r="D927" t="s">
        <v>560</v>
      </c>
    </row>
    <row r="928" spans="1:4" x14ac:dyDescent="0.25">
      <c r="A928">
        <v>928</v>
      </c>
      <c r="B928">
        <v>50</v>
      </c>
      <c r="C928">
        <v>369</v>
      </c>
      <c r="D928" t="s">
        <v>560</v>
      </c>
    </row>
    <row r="929" spans="1:4" x14ac:dyDescent="0.25">
      <c r="A929">
        <v>359</v>
      </c>
      <c r="B929">
        <v>6</v>
      </c>
      <c r="C929">
        <v>360</v>
      </c>
      <c r="D929" t="s">
        <v>560</v>
      </c>
    </row>
    <row r="930" spans="1:4" x14ac:dyDescent="0.25">
      <c r="A930">
        <v>368</v>
      </c>
      <c r="B930">
        <v>6</v>
      </c>
      <c r="C930">
        <v>360</v>
      </c>
      <c r="D930" t="s">
        <v>560</v>
      </c>
    </row>
    <row r="931" spans="1:4" x14ac:dyDescent="0.25">
      <c r="A931">
        <v>364</v>
      </c>
      <c r="B931">
        <v>6</v>
      </c>
      <c r="C931">
        <v>358</v>
      </c>
      <c r="D931" t="s">
        <v>560</v>
      </c>
    </row>
    <row r="932" spans="1:4" x14ac:dyDescent="0.25">
      <c r="A932">
        <v>395</v>
      </c>
      <c r="B932">
        <v>6</v>
      </c>
      <c r="C932">
        <v>355</v>
      </c>
      <c r="D932" t="s">
        <v>560</v>
      </c>
    </row>
    <row r="933" spans="1:4" x14ac:dyDescent="0.25">
      <c r="A933">
        <v>375</v>
      </c>
      <c r="B933">
        <v>6</v>
      </c>
      <c r="C933">
        <v>353</v>
      </c>
      <c r="D933" t="s">
        <v>560</v>
      </c>
    </row>
    <row r="934" spans="1:4" x14ac:dyDescent="0.25">
      <c r="A934">
        <v>369</v>
      </c>
      <c r="B934">
        <v>6</v>
      </c>
      <c r="C934">
        <v>353</v>
      </c>
      <c r="D934" t="s">
        <v>560</v>
      </c>
    </row>
    <row r="935" spans="1:4" x14ac:dyDescent="0.25">
      <c r="A935">
        <v>360</v>
      </c>
      <c r="B935">
        <v>6</v>
      </c>
      <c r="C935">
        <v>353</v>
      </c>
      <c r="D935" t="s">
        <v>560</v>
      </c>
    </row>
    <row r="936" spans="1:4" x14ac:dyDescent="0.25">
      <c r="A936">
        <v>374</v>
      </c>
      <c r="B936">
        <v>6</v>
      </c>
      <c r="C936">
        <v>350</v>
      </c>
      <c r="D936" t="s">
        <v>560</v>
      </c>
    </row>
    <row r="937" spans="1:4" x14ac:dyDescent="0.25">
      <c r="A937">
        <v>373</v>
      </c>
      <c r="B937">
        <v>6</v>
      </c>
      <c r="C937">
        <v>347</v>
      </c>
      <c r="D937" t="s">
        <v>560</v>
      </c>
    </row>
    <row r="938" spans="1:4" x14ac:dyDescent="0.25">
      <c r="A938">
        <v>372</v>
      </c>
      <c r="B938">
        <v>6</v>
      </c>
      <c r="C938">
        <v>344</v>
      </c>
      <c r="D938" t="s">
        <v>560</v>
      </c>
    </row>
    <row r="939" spans="1:4" x14ac:dyDescent="0.25">
      <c r="A939">
        <v>487</v>
      </c>
      <c r="B939">
        <v>5</v>
      </c>
      <c r="C939">
        <v>337</v>
      </c>
      <c r="D939" t="s">
        <v>560</v>
      </c>
    </row>
    <row r="940" spans="1:4" x14ac:dyDescent="0.25">
      <c r="A940">
        <v>488</v>
      </c>
      <c r="B940">
        <v>5</v>
      </c>
      <c r="C940">
        <v>318</v>
      </c>
      <c r="D940" t="s">
        <v>560</v>
      </c>
    </row>
    <row r="941" spans="1:4" x14ac:dyDescent="0.25">
      <c r="A941">
        <v>362</v>
      </c>
      <c r="B941">
        <v>6</v>
      </c>
      <c r="C941">
        <v>315</v>
      </c>
      <c r="D941" t="s">
        <v>560</v>
      </c>
    </row>
    <row r="942" spans="1:4" x14ac:dyDescent="0.25">
      <c r="A942">
        <v>366</v>
      </c>
      <c r="B942">
        <v>6</v>
      </c>
      <c r="C942">
        <v>299</v>
      </c>
      <c r="D942" t="s">
        <v>560</v>
      </c>
    </row>
    <row r="943" spans="1:4" x14ac:dyDescent="0.25">
      <c r="A943">
        <v>377</v>
      </c>
      <c r="B943">
        <v>6</v>
      </c>
      <c r="C943">
        <v>299</v>
      </c>
      <c r="D943" t="s">
        <v>560</v>
      </c>
    </row>
    <row r="944" spans="1:4" x14ac:dyDescent="0.25">
      <c r="A944">
        <v>378</v>
      </c>
      <c r="B944">
        <v>6</v>
      </c>
      <c r="C944">
        <v>294</v>
      </c>
      <c r="D944" t="s">
        <v>560</v>
      </c>
    </row>
    <row r="945" spans="1:4" x14ac:dyDescent="0.25">
      <c r="A945">
        <v>929</v>
      </c>
      <c r="B945">
        <v>50</v>
      </c>
      <c r="C945">
        <v>284</v>
      </c>
      <c r="D945" t="s">
        <v>560</v>
      </c>
    </row>
    <row r="946" spans="1:4" x14ac:dyDescent="0.25">
      <c r="A946">
        <v>534</v>
      </c>
      <c r="B946">
        <v>50</v>
      </c>
      <c r="C946">
        <v>278</v>
      </c>
      <c r="D946" t="s">
        <v>560</v>
      </c>
    </row>
    <row r="947" spans="1:4" x14ac:dyDescent="0.25">
      <c r="A947">
        <v>382</v>
      </c>
      <c r="B947">
        <v>6</v>
      </c>
      <c r="C947">
        <v>276</v>
      </c>
      <c r="D947" t="s">
        <v>560</v>
      </c>
    </row>
    <row r="948" spans="1:4" x14ac:dyDescent="0.25">
      <c r="A948">
        <v>807</v>
      </c>
      <c r="B948">
        <v>6</v>
      </c>
      <c r="C948">
        <v>272</v>
      </c>
      <c r="D948" t="s">
        <v>560</v>
      </c>
    </row>
    <row r="949" spans="1:4" x14ac:dyDescent="0.25">
      <c r="A949">
        <v>381</v>
      </c>
      <c r="B949">
        <v>6</v>
      </c>
      <c r="C949">
        <v>270</v>
      </c>
      <c r="D949" t="s">
        <v>560</v>
      </c>
    </row>
    <row r="950" spans="1:4" x14ac:dyDescent="0.25">
      <c r="A950">
        <v>806</v>
      </c>
      <c r="B950">
        <v>6</v>
      </c>
      <c r="C950">
        <v>268</v>
      </c>
      <c r="D950" t="s">
        <v>560</v>
      </c>
    </row>
    <row r="951" spans="1:4" x14ac:dyDescent="0.25">
      <c r="A951">
        <v>805</v>
      </c>
      <c r="B951">
        <v>6</v>
      </c>
      <c r="C951">
        <v>265</v>
      </c>
      <c r="D951" t="s">
        <v>560</v>
      </c>
    </row>
    <row r="952" spans="1:4" x14ac:dyDescent="0.25">
      <c r="A952">
        <v>380</v>
      </c>
      <c r="B952">
        <v>6</v>
      </c>
      <c r="C952">
        <v>264</v>
      </c>
      <c r="D952" t="s">
        <v>560</v>
      </c>
    </row>
    <row r="953" spans="1:4" x14ac:dyDescent="0.25">
      <c r="A953">
        <v>931</v>
      </c>
      <c r="B953">
        <v>50</v>
      </c>
      <c r="C953">
        <v>252</v>
      </c>
      <c r="D953" t="s">
        <v>560</v>
      </c>
    </row>
    <row r="954" spans="1:4" x14ac:dyDescent="0.25">
      <c r="A954">
        <v>934</v>
      </c>
      <c r="B954">
        <v>50</v>
      </c>
      <c r="C954">
        <v>249</v>
      </c>
      <c r="D954" t="s">
        <v>560</v>
      </c>
    </row>
    <row r="955" spans="1:4" x14ac:dyDescent="0.25">
      <c r="A955">
        <v>921</v>
      </c>
      <c r="B955">
        <v>50</v>
      </c>
      <c r="C955">
        <v>243</v>
      </c>
      <c r="D955" t="s">
        <v>560</v>
      </c>
    </row>
    <row r="956" spans="1:4" x14ac:dyDescent="0.25">
      <c r="A956">
        <v>922</v>
      </c>
      <c r="B956">
        <v>50</v>
      </c>
      <c r="C956">
        <v>241</v>
      </c>
      <c r="D956" t="s">
        <v>560</v>
      </c>
    </row>
    <row r="957" spans="1:4" x14ac:dyDescent="0.25">
      <c r="A957">
        <v>923</v>
      </c>
      <c r="B957">
        <v>50</v>
      </c>
      <c r="C957">
        <v>240</v>
      </c>
      <c r="D957" t="s">
        <v>560</v>
      </c>
    </row>
    <row r="958" spans="1:4" x14ac:dyDescent="0.25">
      <c r="A958">
        <v>930</v>
      </c>
      <c r="B958">
        <v>50</v>
      </c>
      <c r="C958">
        <v>232</v>
      </c>
      <c r="D958" t="s">
        <v>560</v>
      </c>
    </row>
    <row r="959" spans="1:4" x14ac:dyDescent="0.25">
      <c r="A959">
        <v>933</v>
      </c>
      <c r="B959">
        <v>50</v>
      </c>
      <c r="C959">
        <v>228</v>
      </c>
      <c r="D959" t="s">
        <v>560</v>
      </c>
    </row>
    <row r="960" spans="1:4" x14ac:dyDescent="0.25">
      <c r="A960">
        <v>384</v>
      </c>
      <c r="B960">
        <v>6</v>
      </c>
      <c r="C960">
        <v>217</v>
      </c>
      <c r="D960" t="s">
        <v>560</v>
      </c>
    </row>
    <row r="961" spans="1:4" x14ac:dyDescent="0.25">
      <c r="A961">
        <v>386</v>
      </c>
      <c r="B961">
        <v>6</v>
      </c>
      <c r="C961">
        <v>192</v>
      </c>
      <c r="D961" t="s">
        <v>560</v>
      </c>
    </row>
    <row r="962" spans="1:4" x14ac:dyDescent="0.25">
      <c r="A962">
        <v>932</v>
      </c>
      <c r="B962">
        <v>50</v>
      </c>
      <c r="C962">
        <v>192</v>
      </c>
      <c r="D962" t="s">
        <v>560</v>
      </c>
    </row>
    <row r="963" spans="1:4" x14ac:dyDescent="0.25">
      <c r="A963">
        <v>370</v>
      </c>
      <c r="B963">
        <v>6</v>
      </c>
      <c r="C963">
        <v>155</v>
      </c>
      <c r="D963" t="s">
        <v>560</v>
      </c>
    </row>
    <row r="964" spans="1:4" x14ac:dyDescent="0.25">
      <c r="A964">
        <v>394</v>
      </c>
      <c r="B964">
        <v>6</v>
      </c>
      <c r="C964">
        <v>150</v>
      </c>
      <c r="D964" t="s">
        <v>560</v>
      </c>
    </row>
    <row r="965" spans="1:4" x14ac:dyDescent="0.25">
      <c r="A965">
        <v>392</v>
      </c>
      <c r="B965">
        <v>6</v>
      </c>
      <c r="C965">
        <v>147</v>
      </c>
      <c r="D965" t="s">
        <v>560</v>
      </c>
    </row>
    <row r="966" spans="1:4" x14ac:dyDescent="0.25">
      <c r="A966">
        <v>391</v>
      </c>
      <c r="B966">
        <v>6</v>
      </c>
      <c r="C966">
        <v>144</v>
      </c>
      <c r="D966" t="s">
        <v>560</v>
      </c>
    </row>
    <row r="967" spans="1:4" x14ac:dyDescent="0.25">
      <c r="A967">
        <v>388</v>
      </c>
      <c r="B967">
        <v>6</v>
      </c>
      <c r="C967">
        <v>140</v>
      </c>
      <c r="D967" t="s">
        <v>560</v>
      </c>
    </row>
    <row r="968" spans="1:4" x14ac:dyDescent="0.25">
      <c r="A968">
        <v>390</v>
      </c>
      <c r="B968">
        <v>6</v>
      </c>
      <c r="C968">
        <v>140</v>
      </c>
      <c r="D968" t="s">
        <v>560</v>
      </c>
    </row>
    <row r="969" spans="1:4" x14ac:dyDescent="0.25">
      <c r="A969">
        <v>346</v>
      </c>
      <c r="B969">
        <v>60</v>
      </c>
      <c r="C969">
        <v>641</v>
      </c>
      <c r="D969" t="s">
        <v>192</v>
      </c>
    </row>
    <row r="970" spans="1:4" x14ac:dyDescent="0.25">
      <c r="A970">
        <v>343</v>
      </c>
      <c r="B970">
        <v>50</v>
      </c>
      <c r="C970">
        <v>606</v>
      </c>
      <c r="D970" t="s">
        <v>192</v>
      </c>
    </row>
    <row r="971" spans="1:4" x14ac:dyDescent="0.25">
      <c r="A971">
        <v>343</v>
      </c>
      <c r="B971">
        <v>60</v>
      </c>
      <c r="C971">
        <v>499</v>
      </c>
      <c r="D971" t="s">
        <v>192</v>
      </c>
    </row>
    <row r="972" spans="1:4" x14ac:dyDescent="0.25">
      <c r="A972">
        <v>346</v>
      </c>
      <c r="B972">
        <v>50</v>
      </c>
      <c r="C972">
        <v>476</v>
      </c>
      <c r="D972" t="s">
        <v>192</v>
      </c>
    </row>
    <row r="973" spans="1:4" x14ac:dyDescent="0.25">
      <c r="A973">
        <v>349</v>
      </c>
      <c r="B973">
        <v>60</v>
      </c>
      <c r="C973">
        <v>342</v>
      </c>
      <c r="D973" t="s">
        <v>192</v>
      </c>
    </row>
    <row r="974" spans="1:4" x14ac:dyDescent="0.25">
      <c r="A974">
        <v>341</v>
      </c>
      <c r="B974">
        <v>60</v>
      </c>
      <c r="C974">
        <v>339</v>
      </c>
      <c r="D974" t="s">
        <v>192</v>
      </c>
    </row>
    <row r="975" spans="1:4" x14ac:dyDescent="0.25">
      <c r="A975">
        <v>348</v>
      </c>
      <c r="B975">
        <v>60</v>
      </c>
      <c r="C975">
        <v>337</v>
      </c>
      <c r="D975" t="s">
        <v>192</v>
      </c>
    </row>
    <row r="976" spans="1:4" x14ac:dyDescent="0.25">
      <c r="A976">
        <v>345</v>
      </c>
      <c r="B976">
        <v>60</v>
      </c>
      <c r="C976">
        <v>300</v>
      </c>
      <c r="D976" t="s">
        <v>192</v>
      </c>
    </row>
    <row r="977" spans="1:4" x14ac:dyDescent="0.25">
      <c r="A977">
        <v>808</v>
      </c>
      <c r="B977">
        <v>20</v>
      </c>
      <c r="C977">
        <v>276</v>
      </c>
      <c r="D977" t="s">
        <v>192</v>
      </c>
    </row>
    <row r="978" spans="1:4" x14ac:dyDescent="0.25">
      <c r="A978">
        <v>809</v>
      </c>
      <c r="B978">
        <v>20</v>
      </c>
      <c r="C978">
        <v>273</v>
      </c>
      <c r="D978" t="s">
        <v>192</v>
      </c>
    </row>
    <row r="979" spans="1:4" x14ac:dyDescent="0.25">
      <c r="A979">
        <v>810</v>
      </c>
      <c r="B979">
        <v>20</v>
      </c>
      <c r="C979">
        <v>270</v>
      </c>
      <c r="D979" t="s">
        <v>192</v>
      </c>
    </row>
    <row r="980" spans="1:4" x14ac:dyDescent="0.25">
      <c r="A980">
        <v>811</v>
      </c>
      <c r="B980">
        <v>20</v>
      </c>
      <c r="C980">
        <v>267</v>
      </c>
      <c r="D980" t="s">
        <v>192</v>
      </c>
    </row>
    <row r="981" spans="1:4" x14ac:dyDescent="0.25">
      <c r="A981">
        <v>812</v>
      </c>
      <c r="B981">
        <v>20</v>
      </c>
      <c r="C981">
        <v>264</v>
      </c>
      <c r="D981" t="s">
        <v>192</v>
      </c>
    </row>
    <row r="982" spans="1:4" x14ac:dyDescent="0.25">
      <c r="A982">
        <v>813</v>
      </c>
      <c r="B982">
        <v>20</v>
      </c>
      <c r="C982">
        <v>260</v>
      </c>
      <c r="D982" t="s">
        <v>192</v>
      </c>
    </row>
    <row r="983" spans="1:4" x14ac:dyDescent="0.25">
      <c r="A983">
        <v>946</v>
      </c>
      <c r="B983">
        <v>20</v>
      </c>
      <c r="C983">
        <v>257</v>
      </c>
      <c r="D983" t="s">
        <v>192</v>
      </c>
    </row>
    <row r="984" spans="1:4" x14ac:dyDescent="0.25">
      <c r="A984">
        <v>947</v>
      </c>
      <c r="B984">
        <v>20</v>
      </c>
      <c r="C984">
        <v>254</v>
      </c>
      <c r="D984" t="s">
        <v>192</v>
      </c>
    </row>
    <row r="985" spans="1:4" x14ac:dyDescent="0.25">
      <c r="A985">
        <v>348</v>
      </c>
      <c r="B985">
        <v>50</v>
      </c>
      <c r="C985">
        <v>251</v>
      </c>
      <c r="D985" t="s">
        <v>192</v>
      </c>
    </row>
    <row r="986" spans="1:4" x14ac:dyDescent="0.25">
      <c r="A986">
        <v>407</v>
      </c>
      <c r="B986">
        <v>50</v>
      </c>
      <c r="C986">
        <v>625</v>
      </c>
      <c r="D986" t="s">
        <v>561</v>
      </c>
    </row>
    <row r="987" spans="1:4" x14ac:dyDescent="0.25">
      <c r="A987">
        <v>417</v>
      </c>
      <c r="B987">
        <v>50</v>
      </c>
      <c r="C987">
        <v>516</v>
      </c>
      <c r="D987" t="s">
        <v>561</v>
      </c>
    </row>
    <row r="988" spans="1:4" x14ac:dyDescent="0.25">
      <c r="A988">
        <v>422</v>
      </c>
      <c r="B988">
        <v>50</v>
      </c>
      <c r="C988">
        <v>497</v>
      </c>
      <c r="D988" t="s">
        <v>561</v>
      </c>
    </row>
    <row r="989" spans="1:4" x14ac:dyDescent="0.25">
      <c r="A989">
        <v>413</v>
      </c>
      <c r="B989">
        <v>50</v>
      </c>
      <c r="C989">
        <v>459</v>
      </c>
      <c r="D989" t="s">
        <v>561</v>
      </c>
    </row>
    <row r="990" spans="1:4" x14ac:dyDescent="0.25">
      <c r="A990">
        <v>411</v>
      </c>
      <c r="B990">
        <v>50</v>
      </c>
      <c r="C990">
        <v>459</v>
      </c>
      <c r="D990" t="s">
        <v>561</v>
      </c>
    </row>
    <row r="991" spans="1:4" x14ac:dyDescent="0.25">
      <c r="A991">
        <v>820</v>
      </c>
      <c r="B991">
        <v>5</v>
      </c>
      <c r="C991">
        <v>446</v>
      </c>
      <c r="D991" t="s">
        <v>561</v>
      </c>
    </row>
    <row r="992" spans="1:4" x14ac:dyDescent="0.25">
      <c r="A992">
        <v>817</v>
      </c>
      <c r="B992">
        <v>5</v>
      </c>
      <c r="C992">
        <v>443</v>
      </c>
      <c r="D992" t="s">
        <v>561</v>
      </c>
    </row>
    <row r="993" spans="1:4" x14ac:dyDescent="0.25">
      <c r="A993">
        <v>821</v>
      </c>
      <c r="B993">
        <v>5</v>
      </c>
      <c r="C993">
        <v>432</v>
      </c>
      <c r="D993" t="s">
        <v>561</v>
      </c>
    </row>
    <row r="994" spans="1:4" x14ac:dyDescent="0.25">
      <c r="A994">
        <v>818</v>
      </c>
      <c r="B994">
        <v>5</v>
      </c>
      <c r="C994">
        <v>428</v>
      </c>
      <c r="D994" t="s">
        <v>561</v>
      </c>
    </row>
    <row r="995" spans="1:4" x14ac:dyDescent="0.25">
      <c r="A995">
        <v>819</v>
      </c>
      <c r="B995">
        <v>5</v>
      </c>
      <c r="C995">
        <v>409</v>
      </c>
      <c r="D995" t="s">
        <v>561</v>
      </c>
    </row>
    <row r="996" spans="1:4" x14ac:dyDescent="0.25">
      <c r="A996">
        <v>816</v>
      </c>
      <c r="B996">
        <v>5</v>
      </c>
      <c r="C996">
        <v>406</v>
      </c>
      <c r="D996" t="s">
        <v>561</v>
      </c>
    </row>
    <row r="997" spans="1:4" x14ac:dyDescent="0.25">
      <c r="A997">
        <v>418</v>
      </c>
      <c r="B997">
        <v>50</v>
      </c>
      <c r="C997">
        <v>388</v>
      </c>
      <c r="D997" t="s">
        <v>561</v>
      </c>
    </row>
    <row r="998" spans="1:4" x14ac:dyDescent="0.25">
      <c r="A998">
        <v>419</v>
      </c>
      <c r="B998">
        <v>50</v>
      </c>
      <c r="C998">
        <v>387</v>
      </c>
      <c r="D998" t="s">
        <v>561</v>
      </c>
    </row>
    <row r="999" spans="1:4" x14ac:dyDescent="0.25">
      <c r="A999">
        <v>420</v>
      </c>
      <c r="B999">
        <v>50</v>
      </c>
      <c r="C999">
        <v>385</v>
      </c>
      <c r="D999" t="s">
        <v>561</v>
      </c>
    </row>
    <row r="1000" spans="1:4" x14ac:dyDescent="0.25">
      <c r="A1000">
        <v>421</v>
      </c>
      <c r="B1000">
        <v>50</v>
      </c>
      <c r="C1000">
        <v>384</v>
      </c>
      <c r="D1000" t="s">
        <v>561</v>
      </c>
    </row>
    <row r="1001" spans="1:4" x14ac:dyDescent="0.25">
      <c r="A1001">
        <v>414</v>
      </c>
      <c r="B1001">
        <v>50</v>
      </c>
      <c r="C1001">
        <v>371</v>
      </c>
      <c r="D1001" t="s">
        <v>561</v>
      </c>
    </row>
    <row r="1002" spans="1:4" x14ac:dyDescent="0.25">
      <c r="A1002">
        <v>415</v>
      </c>
      <c r="B1002">
        <v>50</v>
      </c>
      <c r="C1002">
        <v>366</v>
      </c>
      <c r="D1002" t="s">
        <v>561</v>
      </c>
    </row>
    <row r="1003" spans="1:4" x14ac:dyDescent="0.25">
      <c r="A1003">
        <v>416</v>
      </c>
      <c r="B1003">
        <v>50</v>
      </c>
      <c r="C1003">
        <v>361</v>
      </c>
      <c r="D1003" t="s">
        <v>561</v>
      </c>
    </row>
    <row r="1004" spans="1:4" x14ac:dyDescent="0.25">
      <c r="A1004">
        <v>402</v>
      </c>
      <c r="B1004">
        <v>50</v>
      </c>
      <c r="C1004">
        <v>321</v>
      </c>
      <c r="D1004" t="s">
        <v>561</v>
      </c>
    </row>
    <row r="1005" spans="1:4" x14ac:dyDescent="0.25">
      <c r="A1005">
        <v>403</v>
      </c>
      <c r="B1005">
        <v>50</v>
      </c>
      <c r="C1005">
        <v>318</v>
      </c>
      <c r="D1005" t="s">
        <v>561</v>
      </c>
    </row>
    <row r="1006" spans="1:4" x14ac:dyDescent="0.25">
      <c r="A1006">
        <v>404</v>
      </c>
      <c r="B1006">
        <v>50</v>
      </c>
      <c r="C1006">
        <v>315</v>
      </c>
      <c r="D1006" t="s">
        <v>561</v>
      </c>
    </row>
    <row r="1007" spans="1:4" x14ac:dyDescent="0.25">
      <c r="A1007">
        <v>405</v>
      </c>
      <c r="B1007">
        <v>50</v>
      </c>
      <c r="C1007">
        <v>312</v>
      </c>
      <c r="D1007" t="s">
        <v>561</v>
      </c>
    </row>
    <row r="1008" spans="1:4" x14ac:dyDescent="0.25">
      <c r="A1008">
        <v>406</v>
      </c>
      <c r="B1008">
        <v>50</v>
      </c>
      <c r="C1008">
        <v>308</v>
      </c>
      <c r="D1008" t="s">
        <v>561</v>
      </c>
    </row>
    <row r="1009" spans="1:4" x14ac:dyDescent="0.25">
      <c r="A1009">
        <v>408</v>
      </c>
      <c r="B1009">
        <v>50</v>
      </c>
      <c r="C1009">
        <v>296</v>
      </c>
      <c r="D1009" t="s">
        <v>561</v>
      </c>
    </row>
    <row r="1010" spans="1:4" x14ac:dyDescent="0.25">
      <c r="A1010">
        <v>409</v>
      </c>
      <c r="B1010">
        <v>50</v>
      </c>
      <c r="C1010">
        <v>292</v>
      </c>
      <c r="D1010" t="s">
        <v>561</v>
      </c>
    </row>
    <row r="1011" spans="1:4" x14ac:dyDescent="0.25">
      <c r="A1011">
        <v>410</v>
      </c>
      <c r="B1011">
        <v>50</v>
      </c>
      <c r="C1011">
        <v>289</v>
      </c>
      <c r="D1011" t="s">
        <v>561</v>
      </c>
    </row>
    <row r="1012" spans="1:4" x14ac:dyDescent="0.25">
      <c r="A1012">
        <v>815</v>
      </c>
      <c r="B1012">
        <v>5</v>
      </c>
      <c r="C1012">
        <v>265</v>
      </c>
      <c r="D1012" t="s">
        <v>561</v>
      </c>
    </row>
    <row r="1013" spans="1:4" x14ac:dyDescent="0.25">
      <c r="A1013">
        <v>412</v>
      </c>
      <c r="B1013">
        <v>50</v>
      </c>
      <c r="C1013">
        <v>156</v>
      </c>
      <c r="D1013" t="s">
        <v>561</v>
      </c>
    </row>
    <row r="1014" spans="1:4" x14ac:dyDescent="0.25">
      <c r="A1014">
        <v>440</v>
      </c>
      <c r="B1014">
        <v>50</v>
      </c>
      <c r="C1014">
        <v>516</v>
      </c>
      <c r="D1014" t="s">
        <v>74</v>
      </c>
    </row>
    <row r="1015" spans="1:4" x14ac:dyDescent="0.25">
      <c r="A1015">
        <v>439</v>
      </c>
      <c r="B1015">
        <v>50</v>
      </c>
      <c r="C1015">
        <v>513</v>
      </c>
      <c r="D1015" t="s">
        <v>74</v>
      </c>
    </row>
    <row r="1016" spans="1:4" x14ac:dyDescent="0.25">
      <c r="A1016">
        <v>441</v>
      </c>
      <c r="B1016">
        <v>50</v>
      </c>
      <c r="C1016">
        <v>512</v>
      </c>
      <c r="D1016" t="s">
        <v>74</v>
      </c>
    </row>
    <row r="1017" spans="1:4" x14ac:dyDescent="0.25">
      <c r="A1017">
        <v>438</v>
      </c>
      <c r="B1017">
        <v>50</v>
      </c>
      <c r="C1017">
        <v>510</v>
      </c>
      <c r="D1017" t="s">
        <v>74</v>
      </c>
    </row>
    <row r="1018" spans="1:4" x14ac:dyDescent="0.25">
      <c r="A1018">
        <v>437</v>
      </c>
      <c r="B1018">
        <v>50</v>
      </c>
      <c r="C1018">
        <v>507</v>
      </c>
      <c r="D1018" t="s">
        <v>74</v>
      </c>
    </row>
    <row r="1019" spans="1:4" x14ac:dyDescent="0.25">
      <c r="A1019">
        <v>442</v>
      </c>
      <c r="B1019">
        <v>50</v>
      </c>
      <c r="C1019">
        <v>507</v>
      </c>
      <c r="D1019" t="s">
        <v>74</v>
      </c>
    </row>
    <row r="1020" spans="1:4" x14ac:dyDescent="0.25">
      <c r="A1020">
        <v>436</v>
      </c>
      <c r="B1020">
        <v>50</v>
      </c>
      <c r="C1020">
        <v>504</v>
      </c>
      <c r="D1020" t="s">
        <v>74</v>
      </c>
    </row>
    <row r="1021" spans="1:4" x14ac:dyDescent="0.25">
      <c r="A1021">
        <v>443</v>
      </c>
      <c r="B1021">
        <v>50</v>
      </c>
      <c r="C1021">
        <v>502</v>
      </c>
      <c r="D1021" t="s">
        <v>74</v>
      </c>
    </row>
    <row r="1022" spans="1:4" x14ac:dyDescent="0.25">
      <c r="A1022">
        <v>460</v>
      </c>
      <c r="B1022">
        <v>50</v>
      </c>
      <c r="C1022">
        <v>500</v>
      </c>
      <c r="D1022" t="s">
        <v>74</v>
      </c>
    </row>
    <row r="1023" spans="1:4" x14ac:dyDescent="0.25">
      <c r="A1023">
        <v>435</v>
      </c>
      <c r="B1023">
        <v>50</v>
      </c>
      <c r="C1023">
        <v>500</v>
      </c>
      <c r="D1023" t="s">
        <v>74</v>
      </c>
    </row>
    <row r="1024" spans="1:4" x14ac:dyDescent="0.25">
      <c r="A1024">
        <v>434</v>
      </c>
      <c r="B1024">
        <v>50</v>
      </c>
      <c r="C1024">
        <v>497</v>
      </c>
      <c r="D1024" t="s">
        <v>74</v>
      </c>
    </row>
    <row r="1025" spans="1:4" x14ac:dyDescent="0.25">
      <c r="A1025">
        <v>459</v>
      </c>
      <c r="B1025">
        <v>50</v>
      </c>
      <c r="C1025">
        <v>497</v>
      </c>
      <c r="D1025" t="s">
        <v>74</v>
      </c>
    </row>
    <row r="1026" spans="1:4" x14ac:dyDescent="0.25">
      <c r="A1026">
        <v>444</v>
      </c>
      <c r="B1026">
        <v>50</v>
      </c>
      <c r="C1026">
        <v>497</v>
      </c>
      <c r="D1026" t="s">
        <v>74</v>
      </c>
    </row>
    <row r="1027" spans="1:4" x14ac:dyDescent="0.25">
      <c r="A1027">
        <v>423</v>
      </c>
      <c r="B1027">
        <v>50</v>
      </c>
      <c r="C1027">
        <v>496</v>
      </c>
      <c r="D1027" t="s">
        <v>74</v>
      </c>
    </row>
    <row r="1028" spans="1:4" x14ac:dyDescent="0.25">
      <c r="A1028">
        <v>424</v>
      </c>
      <c r="B1028">
        <v>50</v>
      </c>
      <c r="C1028">
        <v>494</v>
      </c>
      <c r="D1028" t="s">
        <v>74</v>
      </c>
    </row>
    <row r="1029" spans="1:4" x14ac:dyDescent="0.25">
      <c r="A1029">
        <v>433</v>
      </c>
      <c r="B1029">
        <v>50</v>
      </c>
      <c r="C1029">
        <v>494</v>
      </c>
      <c r="D1029" t="s">
        <v>74</v>
      </c>
    </row>
    <row r="1030" spans="1:4" x14ac:dyDescent="0.25">
      <c r="A1030">
        <v>458</v>
      </c>
      <c r="B1030">
        <v>50</v>
      </c>
      <c r="C1030">
        <v>494</v>
      </c>
      <c r="D1030" t="s">
        <v>74</v>
      </c>
    </row>
    <row r="1031" spans="1:4" x14ac:dyDescent="0.25">
      <c r="A1031">
        <v>445</v>
      </c>
      <c r="B1031">
        <v>50</v>
      </c>
      <c r="C1031">
        <v>492</v>
      </c>
      <c r="D1031" t="s">
        <v>74</v>
      </c>
    </row>
    <row r="1032" spans="1:4" x14ac:dyDescent="0.25">
      <c r="A1032">
        <v>425</v>
      </c>
      <c r="B1032">
        <v>50</v>
      </c>
      <c r="C1032">
        <v>492</v>
      </c>
      <c r="D1032" t="s">
        <v>74</v>
      </c>
    </row>
    <row r="1033" spans="1:4" x14ac:dyDescent="0.25">
      <c r="A1033">
        <v>426</v>
      </c>
      <c r="B1033">
        <v>50</v>
      </c>
      <c r="C1033">
        <v>491</v>
      </c>
      <c r="D1033" t="s">
        <v>74</v>
      </c>
    </row>
    <row r="1034" spans="1:4" x14ac:dyDescent="0.25">
      <c r="A1034">
        <v>432</v>
      </c>
      <c r="B1034">
        <v>50</v>
      </c>
      <c r="C1034">
        <v>491</v>
      </c>
      <c r="D1034" t="s">
        <v>74</v>
      </c>
    </row>
    <row r="1035" spans="1:4" x14ac:dyDescent="0.25">
      <c r="A1035">
        <v>457</v>
      </c>
      <c r="B1035">
        <v>50</v>
      </c>
      <c r="C1035">
        <v>491</v>
      </c>
      <c r="D1035" t="s">
        <v>74</v>
      </c>
    </row>
    <row r="1036" spans="1:4" x14ac:dyDescent="0.25">
      <c r="A1036">
        <v>427</v>
      </c>
      <c r="B1036">
        <v>50</v>
      </c>
      <c r="C1036">
        <v>489</v>
      </c>
      <c r="D1036" t="s">
        <v>74</v>
      </c>
    </row>
    <row r="1037" spans="1:4" x14ac:dyDescent="0.25">
      <c r="A1037">
        <v>428</v>
      </c>
      <c r="B1037">
        <v>50</v>
      </c>
      <c r="C1037">
        <v>488</v>
      </c>
      <c r="D1037" t="s">
        <v>74</v>
      </c>
    </row>
    <row r="1038" spans="1:4" x14ac:dyDescent="0.25">
      <c r="A1038">
        <v>431</v>
      </c>
      <c r="B1038">
        <v>50</v>
      </c>
      <c r="C1038">
        <v>488</v>
      </c>
      <c r="D1038" t="s">
        <v>74</v>
      </c>
    </row>
    <row r="1039" spans="1:4" x14ac:dyDescent="0.25">
      <c r="A1039">
        <v>456</v>
      </c>
      <c r="B1039">
        <v>50</v>
      </c>
      <c r="C1039">
        <v>488</v>
      </c>
      <c r="D1039" t="s">
        <v>74</v>
      </c>
    </row>
    <row r="1040" spans="1:4" x14ac:dyDescent="0.25">
      <c r="A1040">
        <v>446</v>
      </c>
      <c r="B1040">
        <v>50</v>
      </c>
      <c r="C1040">
        <v>488</v>
      </c>
      <c r="D1040" t="s">
        <v>74</v>
      </c>
    </row>
    <row r="1041" spans="1:4" x14ac:dyDescent="0.25">
      <c r="A1041">
        <v>429</v>
      </c>
      <c r="B1041">
        <v>50</v>
      </c>
      <c r="C1041">
        <v>486</v>
      </c>
      <c r="D1041" t="s">
        <v>74</v>
      </c>
    </row>
    <row r="1042" spans="1:4" x14ac:dyDescent="0.25">
      <c r="A1042">
        <v>430</v>
      </c>
      <c r="B1042">
        <v>50</v>
      </c>
      <c r="C1042">
        <v>484</v>
      </c>
      <c r="D1042" t="s">
        <v>74</v>
      </c>
    </row>
    <row r="1043" spans="1:4" x14ac:dyDescent="0.25">
      <c r="A1043">
        <v>455</v>
      </c>
      <c r="B1043">
        <v>50</v>
      </c>
      <c r="C1043">
        <v>484</v>
      </c>
      <c r="D1043" t="s">
        <v>74</v>
      </c>
    </row>
    <row r="1044" spans="1:4" x14ac:dyDescent="0.25">
      <c r="A1044">
        <v>447</v>
      </c>
      <c r="B1044">
        <v>50</v>
      </c>
      <c r="C1044">
        <v>483</v>
      </c>
      <c r="D1044" t="s">
        <v>74</v>
      </c>
    </row>
    <row r="1045" spans="1:4" x14ac:dyDescent="0.25">
      <c r="A1045">
        <v>454</v>
      </c>
      <c r="B1045">
        <v>50</v>
      </c>
      <c r="C1045">
        <v>481</v>
      </c>
      <c r="D1045" t="s">
        <v>74</v>
      </c>
    </row>
    <row r="1046" spans="1:4" x14ac:dyDescent="0.25">
      <c r="A1046">
        <v>453</v>
      </c>
      <c r="B1046">
        <v>50</v>
      </c>
      <c r="C1046">
        <v>478</v>
      </c>
      <c r="D1046" t="s">
        <v>74</v>
      </c>
    </row>
    <row r="1047" spans="1:4" x14ac:dyDescent="0.25">
      <c r="A1047">
        <v>448</v>
      </c>
      <c r="B1047">
        <v>50</v>
      </c>
      <c r="C1047">
        <v>478</v>
      </c>
      <c r="D1047" t="s">
        <v>74</v>
      </c>
    </row>
    <row r="1048" spans="1:4" x14ac:dyDescent="0.25">
      <c r="A1048">
        <v>452</v>
      </c>
      <c r="B1048">
        <v>50</v>
      </c>
      <c r="C1048">
        <v>475</v>
      </c>
      <c r="D1048" t="s">
        <v>74</v>
      </c>
    </row>
    <row r="1049" spans="1:4" x14ac:dyDescent="0.25">
      <c r="A1049">
        <v>449</v>
      </c>
      <c r="B1049">
        <v>50</v>
      </c>
      <c r="C1049">
        <v>473</v>
      </c>
      <c r="D1049" t="s">
        <v>74</v>
      </c>
    </row>
    <row r="1050" spans="1:4" x14ac:dyDescent="0.25">
      <c r="A1050">
        <v>451</v>
      </c>
      <c r="B1050">
        <v>50</v>
      </c>
      <c r="C1050">
        <v>472</v>
      </c>
      <c r="D1050" t="s">
        <v>74</v>
      </c>
    </row>
    <row r="1051" spans="1:4" x14ac:dyDescent="0.25">
      <c r="A1051">
        <v>450</v>
      </c>
      <c r="B1051">
        <v>50</v>
      </c>
      <c r="C1051">
        <v>468</v>
      </c>
      <c r="D1051" t="s">
        <v>74</v>
      </c>
    </row>
    <row r="1052" spans="1:4" x14ac:dyDescent="0.25">
      <c r="A1052">
        <v>829</v>
      </c>
      <c r="B1052">
        <v>50</v>
      </c>
      <c r="C1052">
        <v>476</v>
      </c>
      <c r="D1052" t="s">
        <v>562</v>
      </c>
    </row>
    <row r="1053" spans="1:4" x14ac:dyDescent="0.25">
      <c r="A1053">
        <v>827</v>
      </c>
      <c r="B1053">
        <v>50</v>
      </c>
      <c r="C1053">
        <v>425</v>
      </c>
      <c r="D1053" t="s">
        <v>562</v>
      </c>
    </row>
    <row r="1054" spans="1:4" x14ac:dyDescent="0.25">
      <c r="A1054">
        <v>826</v>
      </c>
      <c r="B1054">
        <v>50</v>
      </c>
      <c r="C1054">
        <v>406</v>
      </c>
      <c r="D1054" t="s">
        <v>562</v>
      </c>
    </row>
    <row r="1055" spans="1:4" x14ac:dyDescent="0.25">
      <c r="A1055">
        <v>824</v>
      </c>
      <c r="B1055">
        <v>50</v>
      </c>
      <c r="C1055">
        <v>401</v>
      </c>
      <c r="D1055" t="s">
        <v>562</v>
      </c>
    </row>
    <row r="1056" spans="1:4" x14ac:dyDescent="0.25">
      <c r="A1056">
        <v>825</v>
      </c>
      <c r="B1056">
        <v>50</v>
      </c>
      <c r="C1056">
        <v>387</v>
      </c>
      <c r="D1056" t="s">
        <v>562</v>
      </c>
    </row>
    <row r="1057" spans="1:4" x14ac:dyDescent="0.25">
      <c r="A1057">
        <v>828</v>
      </c>
      <c r="B1057">
        <v>50</v>
      </c>
      <c r="C1057">
        <v>284</v>
      </c>
      <c r="D1057" t="s">
        <v>562</v>
      </c>
    </row>
    <row r="1058" spans="1:4" x14ac:dyDescent="0.25">
      <c r="A1058">
        <v>823</v>
      </c>
      <c r="B1058">
        <v>50</v>
      </c>
      <c r="C1058">
        <v>256</v>
      </c>
      <c r="D1058" t="s">
        <v>562</v>
      </c>
    </row>
    <row r="1059" spans="1:4" x14ac:dyDescent="0.25">
      <c r="A1059">
        <v>941</v>
      </c>
      <c r="B1059">
        <v>50</v>
      </c>
      <c r="C1059">
        <v>388</v>
      </c>
      <c r="D1059" t="s">
        <v>563</v>
      </c>
    </row>
    <row r="1060" spans="1:4" x14ac:dyDescent="0.25">
      <c r="A1060">
        <v>940</v>
      </c>
      <c r="B1060">
        <v>50</v>
      </c>
      <c r="C1060">
        <v>323</v>
      </c>
      <c r="D1060" t="s">
        <v>563</v>
      </c>
    </row>
    <row r="1061" spans="1:4" x14ac:dyDescent="0.25">
      <c r="A1061">
        <v>504</v>
      </c>
      <c r="B1061">
        <v>50</v>
      </c>
      <c r="C1061">
        <v>320</v>
      </c>
      <c r="D1061" t="s">
        <v>563</v>
      </c>
    </row>
    <row r="1062" spans="1:4" x14ac:dyDescent="0.25">
      <c r="A1062">
        <v>505</v>
      </c>
      <c r="B1062">
        <v>50</v>
      </c>
      <c r="C1062">
        <v>283</v>
      </c>
      <c r="D1062" t="s">
        <v>563</v>
      </c>
    </row>
    <row r="1063" spans="1:4" x14ac:dyDescent="0.25">
      <c r="A1063">
        <v>497</v>
      </c>
      <c r="B1063">
        <v>50</v>
      </c>
      <c r="C1063">
        <v>273</v>
      </c>
      <c r="D1063" t="s">
        <v>563</v>
      </c>
    </row>
    <row r="1064" spans="1:4" x14ac:dyDescent="0.25">
      <c r="A1064">
        <v>907</v>
      </c>
      <c r="B1064">
        <v>50</v>
      </c>
      <c r="C1064">
        <v>158</v>
      </c>
      <c r="D1064" t="s">
        <v>563</v>
      </c>
    </row>
    <row r="1065" spans="1:4" x14ac:dyDescent="0.25">
      <c r="A1065">
        <v>935</v>
      </c>
      <c r="B1065">
        <v>50</v>
      </c>
      <c r="C1065">
        <v>156</v>
      </c>
      <c r="D1065" t="s">
        <v>563</v>
      </c>
    </row>
    <row r="1066" spans="1:4" x14ac:dyDescent="0.25">
      <c r="A1066">
        <v>936</v>
      </c>
      <c r="B1066">
        <v>50</v>
      </c>
      <c r="C1066">
        <v>155</v>
      </c>
      <c r="D1066" t="s">
        <v>563</v>
      </c>
    </row>
    <row r="1067" spans="1:4" x14ac:dyDescent="0.25">
      <c r="A1067">
        <v>894</v>
      </c>
      <c r="B1067">
        <v>50</v>
      </c>
      <c r="C1067">
        <v>155</v>
      </c>
      <c r="D1067" t="s">
        <v>563</v>
      </c>
    </row>
    <row r="1068" spans="1:4" x14ac:dyDescent="0.25">
      <c r="A1068">
        <v>937</v>
      </c>
      <c r="B1068">
        <v>50</v>
      </c>
      <c r="C1068">
        <v>153</v>
      </c>
      <c r="D1068" t="s">
        <v>563</v>
      </c>
    </row>
    <row r="1069" spans="1:4" x14ac:dyDescent="0.25">
      <c r="A1069">
        <v>938</v>
      </c>
      <c r="B1069">
        <v>50</v>
      </c>
      <c r="C1069">
        <v>152</v>
      </c>
      <c r="D1069" t="s">
        <v>563</v>
      </c>
    </row>
    <row r="1070" spans="1:4" x14ac:dyDescent="0.25">
      <c r="A1070">
        <v>939</v>
      </c>
      <c r="B1070">
        <v>50</v>
      </c>
      <c r="C1070">
        <v>150</v>
      </c>
      <c r="D1070" t="s">
        <v>563</v>
      </c>
    </row>
    <row r="1071" spans="1:4" x14ac:dyDescent="0.25">
      <c r="A1071">
        <v>679</v>
      </c>
      <c r="B1071">
        <v>50</v>
      </c>
      <c r="C1071">
        <v>121</v>
      </c>
      <c r="D1071" t="s">
        <v>563</v>
      </c>
    </row>
    <row r="1072" spans="1:4" x14ac:dyDescent="0.25">
      <c r="A1072">
        <v>506</v>
      </c>
      <c r="B1072">
        <v>50</v>
      </c>
      <c r="C1072">
        <v>121</v>
      </c>
      <c r="D1072" t="s">
        <v>563</v>
      </c>
    </row>
    <row r="1073" spans="1:4" x14ac:dyDescent="0.25">
      <c r="A1073">
        <v>524</v>
      </c>
      <c r="B1073">
        <v>50</v>
      </c>
      <c r="C1073">
        <v>228</v>
      </c>
      <c r="D1073" t="s">
        <v>193</v>
      </c>
    </row>
    <row r="1074" spans="1:4" x14ac:dyDescent="0.25">
      <c r="A1074">
        <v>523</v>
      </c>
      <c r="B1074">
        <v>50</v>
      </c>
      <c r="C1074">
        <v>209</v>
      </c>
      <c r="D1074" t="s">
        <v>193</v>
      </c>
    </row>
  </sheetData>
  <sheetProtection algorithmName="SHA-512" hashValue="sNgMxX5geSeLvAOC8jY6XxPDs+aJ/zXsedG7RNhP18PIdpinHMXb5UM3TTZ0aSyGbCYUcENJgyrZ+rD18H9I0A==" saltValue="vN5jCSkAhoZEwvyqsvPhhA=="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730F3-1400-4741-9CC2-F7D5D8690E73}">
  <sheetPr codeName="Sheet4"/>
  <dimension ref="A1:G33"/>
  <sheetViews>
    <sheetView workbookViewId="0">
      <selection activeCell="F4" sqref="F4"/>
    </sheetView>
  </sheetViews>
  <sheetFormatPr defaultRowHeight="15" x14ac:dyDescent="0.25"/>
  <cols>
    <col min="1" max="1" width="40.5703125" customWidth="1"/>
  </cols>
  <sheetData>
    <row r="1" spans="1:7" x14ac:dyDescent="0.25">
      <c r="A1" s="92"/>
    </row>
    <row r="2" spans="1:7" x14ac:dyDescent="0.25">
      <c r="A2" s="92" cm="1">
        <f t="array" ref="A2">gradeGenericQuestionRange("Text",A4:D33,10,Question1!A5:D333)</f>
        <v>0.3333333432674408</v>
      </c>
      <c r="F2" s="90" t="s">
        <v>194</v>
      </c>
    </row>
    <row r="3" spans="1:7" x14ac:dyDescent="0.25">
      <c r="F3" s="90" t="s">
        <v>195</v>
      </c>
    </row>
    <row r="4" spans="1:7" x14ac:dyDescent="0.25">
      <c r="A4" s="86" t="s">
        <v>188</v>
      </c>
      <c r="B4" s="86" t="s">
        <v>189</v>
      </c>
      <c r="C4" s="86" t="s">
        <v>190</v>
      </c>
      <c r="D4" t="s">
        <v>191</v>
      </c>
      <c r="F4" s="90" t="s">
        <v>298</v>
      </c>
    </row>
    <row r="5" spans="1:7" x14ac:dyDescent="0.25">
      <c r="A5" s="86">
        <v>509</v>
      </c>
      <c r="B5" s="86">
        <v>6</v>
      </c>
      <c r="C5" s="86">
        <v>689</v>
      </c>
      <c r="D5" t="s">
        <v>295</v>
      </c>
      <c r="F5" s="90" t="s">
        <v>196</v>
      </c>
    </row>
    <row r="6" spans="1:7" x14ac:dyDescent="0.25">
      <c r="A6">
        <v>508</v>
      </c>
      <c r="B6">
        <v>6</v>
      </c>
      <c r="C6">
        <v>681</v>
      </c>
      <c r="D6" t="s">
        <v>295</v>
      </c>
    </row>
    <row r="7" spans="1:7" x14ac:dyDescent="0.25">
      <c r="A7">
        <v>507</v>
      </c>
      <c r="B7">
        <v>6</v>
      </c>
      <c r="C7">
        <v>673</v>
      </c>
      <c r="D7" t="s">
        <v>295</v>
      </c>
    </row>
    <row r="8" spans="1:7" x14ac:dyDescent="0.25">
      <c r="A8">
        <v>513</v>
      </c>
      <c r="B8">
        <v>6</v>
      </c>
      <c r="C8">
        <v>640</v>
      </c>
      <c r="D8" t="s">
        <v>295</v>
      </c>
    </row>
    <row r="9" spans="1:7" x14ac:dyDescent="0.25">
      <c r="A9">
        <v>489</v>
      </c>
      <c r="B9">
        <v>50</v>
      </c>
      <c r="C9">
        <v>606</v>
      </c>
      <c r="D9" t="s">
        <v>295</v>
      </c>
    </row>
    <row r="10" spans="1:7" x14ac:dyDescent="0.25">
      <c r="A10">
        <v>490</v>
      </c>
      <c r="B10">
        <v>50</v>
      </c>
      <c r="C10">
        <v>587</v>
      </c>
      <c r="D10" t="s">
        <v>295</v>
      </c>
    </row>
    <row r="11" spans="1:7" x14ac:dyDescent="0.25">
      <c r="A11">
        <v>510</v>
      </c>
      <c r="B11">
        <v>6</v>
      </c>
      <c r="C11">
        <v>406</v>
      </c>
      <c r="D11" t="s">
        <v>295</v>
      </c>
    </row>
    <row r="12" spans="1:7" x14ac:dyDescent="0.25">
      <c r="A12">
        <v>511</v>
      </c>
      <c r="B12">
        <v>6</v>
      </c>
      <c r="C12">
        <v>390</v>
      </c>
      <c r="D12" t="s">
        <v>295</v>
      </c>
    </row>
    <row r="13" spans="1:7" x14ac:dyDescent="0.25">
      <c r="A13">
        <v>512</v>
      </c>
      <c r="B13">
        <v>6</v>
      </c>
      <c r="C13">
        <v>334</v>
      </c>
      <c r="D13" t="s">
        <v>295</v>
      </c>
      <c r="G13" t="s">
        <v>297</v>
      </c>
    </row>
    <row r="14" spans="1:7" x14ac:dyDescent="0.25">
      <c r="A14">
        <v>491</v>
      </c>
      <c r="B14">
        <v>50</v>
      </c>
      <c r="C14">
        <v>248</v>
      </c>
      <c r="D14" t="s">
        <v>295</v>
      </c>
    </row>
    <row r="15" spans="1:7" x14ac:dyDescent="0.25">
      <c r="A15">
        <v>346</v>
      </c>
      <c r="B15">
        <v>60</v>
      </c>
      <c r="C15">
        <v>641</v>
      </c>
      <c r="D15" t="s">
        <v>192</v>
      </c>
    </row>
    <row r="16" spans="1:7" x14ac:dyDescent="0.25">
      <c r="A16">
        <v>343</v>
      </c>
      <c r="B16">
        <v>50</v>
      </c>
      <c r="C16">
        <v>606</v>
      </c>
      <c r="D16" t="s">
        <v>192</v>
      </c>
    </row>
    <row r="17" spans="1:4" x14ac:dyDescent="0.25">
      <c r="A17">
        <v>343</v>
      </c>
      <c r="B17">
        <v>60</v>
      </c>
      <c r="C17">
        <v>499</v>
      </c>
      <c r="D17" t="s">
        <v>192</v>
      </c>
    </row>
    <row r="18" spans="1:4" x14ac:dyDescent="0.25">
      <c r="A18">
        <v>346</v>
      </c>
      <c r="B18">
        <v>50</v>
      </c>
      <c r="C18">
        <v>476</v>
      </c>
      <c r="D18" t="s">
        <v>192</v>
      </c>
    </row>
    <row r="19" spans="1:4" x14ac:dyDescent="0.25">
      <c r="A19">
        <v>349</v>
      </c>
      <c r="B19">
        <v>60</v>
      </c>
      <c r="C19">
        <v>342</v>
      </c>
      <c r="D19" t="s">
        <v>192</v>
      </c>
    </row>
    <row r="20" spans="1:4" x14ac:dyDescent="0.25">
      <c r="A20">
        <v>341</v>
      </c>
      <c r="B20">
        <v>60</v>
      </c>
      <c r="C20">
        <v>339</v>
      </c>
      <c r="D20" t="s">
        <v>192</v>
      </c>
    </row>
    <row r="21" spans="1:4" x14ac:dyDescent="0.25">
      <c r="A21">
        <v>348</v>
      </c>
      <c r="B21">
        <v>60</v>
      </c>
      <c r="C21">
        <v>337</v>
      </c>
      <c r="D21" t="s">
        <v>192</v>
      </c>
    </row>
    <row r="22" spans="1:4" x14ac:dyDescent="0.25">
      <c r="A22">
        <v>345</v>
      </c>
      <c r="B22">
        <v>60</v>
      </c>
      <c r="C22">
        <v>300</v>
      </c>
      <c r="D22" t="s">
        <v>192</v>
      </c>
    </row>
    <row r="23" spans="1:4" x14ac:dyDescent="0.25">
      <c r="A23">
        <v>808</v>
      </c>
      <c r="B23">
        <v>20</v>
      </c>
      <c r="C23">
        <v>276</v>
      </c>
      <c r="D23" t="s">
        <v>192</v>
      </c>
    </row>
    <row r="24" spans="1:4" x14ac:dyDescent="0.25">
      <c r="A24">
        <v>809</v>
      </c>
      <c r="B24">
        <v>20</v>
      </c>
      <c r="C24">
        <v>273</v>
      </c>
      <c r="D24" t="s">
        <v>192</v>
      </c>
    </row>
    <row r="25" spans="1:4" x14ac:dyDescent="0.25">
      <c r="A25">
        <v>810</v>
      </c>
      <c r="B25">
        <v>20</v>
      </c>
      <c r="C25">
        <v>270</v>
      </c>
      <c r="D25" t="s">
        <v>192</v>
      </c>
    </row>
    <row r="26" spans="1:4" x14ac:dyDescent="0.25">
      <c r="A26">
        <v>811</v>
      </c>
      <c r="B26">
        <v>20</v>
      </c>
      <c r="C26">
        <v>267</v>
      </c>
      <c r="D26" t="s">
        <v>192</v>
      </c>
    </row>
    <row r="27" spans="1:4" x14ac:dyDescent="0.25">
      <c r="A27">
        <v>812</v>
      </c>
      <c r="B27">
        <v>20</v>
      </c>
      <c r="C27">
        <v>264</v>
      </c>
      <c r="D27" t="s">
        <v>192</v>
      </c>
    </row>
    <row r="28" spans="1:4" x14ac:dyDescent="0.25">
      <c r="A28">
        <v>813</v>
      </c>
      <c r="B28">
        <v>20</v>
      </c>
      <c r="C28">
        <v>260</v>
      </c>
      <c r="D28" t="s">
        <v>192</v>
      </c>
    </row>
    <row r="29" spans="1:4" x14ac:dyDescent="0.25">
      <c r="A29">
        <v>946</v>
      </c>
      <c r="B29">
        <v>20</v>
      </c>
      <c r="C29">
        <v>257</v>
      </c>
      <c r="D29" t="s">
        <v>192</v>
      </c>
    </row>
    <row r="30" spans="1:4" x14ac:dyDescent="0.25">
      <c r="A30">
        <v>947</v>
      </c>
      <c r="B30">
        <v>20</v>
      </c>
      <c r="C30">
        <v>254</v>
      </c>
      <c r="D30" t="s">
        <v>192</v>
      </c>
    </row>
    <row r="31" spans="1:4" x14ac:dyDescent="0.25">
      <c r="A31">
        <v>348</v>
      </c>
      <c r="B31">
        <v>50</v>
      </c>
      <c r="C31">
        <v>251</v>
      </c>
      <c r="D31" t="s">
        <v>192</v>
      </c>
    </row>
    <row r="32" spans="1:4" x14ac:dyDescent="0.25">
      <c r="A32">
        <v>524</v>
      </c>
      <c r="B32">
        <v>50</v>
      </c>
      <c r="C32">
        <v>228</v>
      </c>
      <c r="D32" t="s">
        <v>193</v>
      </c>
    </row>
    <row r="33" spans="1:4" x14ac:dyDescent="0.25">
      <c r="A33">
        <v>523</v>
      </c>
      <c r="B33">
        <v>50</v>
      </c>
      <c r="C33">
        <v>209</v>
      </c>
      <c r="D33" t="s">
        <v>193</v>
      </c>
    </row>
  </sheetData>
  <sheetProtection algorithmName="SHA-512" hashValue="zHtcfs5KcQMQ28gCulY4LdRWb4yMSE9OfzlakBL3OOVCLnfcU4VnUq/0oSMr1K5BR9BMAuYcsq1rl9baJoslzQ==" saltValue="yH42u7K66v09tzHJxDTpp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9623-3574-4FC4-99F5-8977F1767E7D}">
  <sheetPr codeName="Sheet5"/>
  <dimension ref="A1:Q91"/>
  <sheetViews>
    <sheetView workbookViewId="0">
      <selection activeCell="K10" sqref="K10"/>
    </sheetView>
  </sheetViews>
  <sheetFormatPr defaultRowHeight="15" x14ac:dyDescent="0.25"/>
  <sheetData>
    <row r="1" spans="1:17" x14ac:dyDescent="0.25">
      <c r="A1" s="88" t="s">
        <v>165</v>
      </c>
      <c r="D1" t="s">
        <v>177</v>
      </c>
      <c r="H1" t="s">
        <v>296</v>
      </c>
    </row>
    <row r="2" spans="1:17" ht="30" customHeight="1" x14ac:dyDescent="0.25">
      <c r="A2" s="89" t="s">
        <v>535</v>
      </c>
    </row>
    <row r="3" spans="1:17" ht="28.9" customHeight="1" x14ac:dyDescent="0.25">
      <c r="A3" t="s">
        <v>168</v>
      </c>
      <c r="I3" t="s">
        <v>209</v>
      </c>
    </row>
    <row r="4" spans="1:17" x14ac:dyDescent="0.25">
      <c r="N4" s="120" t="s">
        <v>565</v>
      </c>
      <c r="O4" s="120"/>
      <c r="P4" s="120"/>
      <c r="Q4" s="120"/>
    </row>
    <row r="5" spans="1:17" x14ac:dyDescent="0.25">
      <c r="A5" s="86" t="s">
        <v>183</v>
      </c>
      <c r="B5" s="86" t="s">
        <v>210</v>
      </c>
      <c r="C5" s="86" t="s">
        <v>211</v>
      </c>
      <c r="D5" t="s">
        <v>571</v>
      </c>
      <c r="E5" t="s">
        <v>213</v>
      </c>
      <c r="N5" s="120" t="s">
        <v>577</v>
      </c>
    </row>
    <row r="6" spans="1:17" x14ac:dyDescent="0.25">
      <c r="A6" s="86" t="s">
        <v>236</v>
      </c>
      <c r="B6" s="86" t="s">
        <v>237</v>
      </c>
      <c r="C6" s="86" t="s">
        <v>227</v>
      </c>
      <c r="D6" s="103" t="s">
        <v>572</v>
      </c>
      <c r="E6">
        <v>88</v>
      </c>
      <c r="N6" s="120" t="s">
        <v>692</v>
      </c>
    </row>
    <row r="7" spans="1:17" x14ac:dyDescent="0.25">
      <c r="A7" t="s">
        <v>323</v>
      </c>
      <c r="B7" t="s">
        <v>324</v>
      </c>
      <c r="C7" t="s">
        <v>224</v>
      </c>
      <c r="D7" s="103" t="s">
        <v>200</v>
      </c>
      <c r="E7">
        <v>2.68</v>
      </c>
      <c r="N7" s="120" t="s">
        <v>566</v>
      </c>
    </row>
    <row r="8" spans="1:17" x14ac:dyDescent="0.25">
      <c r="A8" t="s">
        <v>327</v>
      </c>
      <c r="B8" t="s">
        <v>328</v>
      </c>
      <c r="C8" t="s">
        <v>224</v>
      </c>
      <c r="D8" s="103" t="s">
        <v>200</v>
      </c>
      <c r="E8">
        <v>2.72</v>
      </c>
      <c r="N8" s="120" t="s">
        <v>567</v>
      </c>
    </row>
    <row r="9" spans="1:17" x14ac:dyDescent="0.25">
      <c r="A9" t="s">
        <v>335</v>
      </c>
      <c r="B9" t="s">
        <v>336</v>
      </c>
      <c r="C9" t="s">
        <v>224</v>
      </c>
      <c r="D9" s="103" t="s">
        <v>200</v>
      </c>
      <c r="E9">
        <v>2.76</v>
      </c>
    </row>
    <row r="10" spans="1:17" x14ac:dyDescent="0.25">
      <c r="A10" t="s">
        <v>351</v>
      </c>
      <c r="B10" t="s">
        <v>352</v>
      </c>
      <c r="C10" t="s">
        <v>224</v>
      </c>
      <c r="D10" s="103" t="s">
        <v>200</v>
      </c>
      <c r="E10">
        <v>2.84</v>
      </c>
    </row>
    <row r="11" spans="1:17" x14ac:dyDescent="0.25">
      <c r="A11" t="s">
        <v>343</v>
      </c>
      <c r="B11" t="s">
        <v>344</v>
      </c>
      <c r="C11" t="s">
        <v>224</v>
      </c>
      <c r="D11" s="103" t="s">
        <v>200</v>
      </c>
      <c r="E11">
        <v>2.8</v>
      </c>
    </row>
    <row r="12" spans="1:17" x14ac:dyDescent="0.25">
      <c r="A12" t="s">
        <v>325</v>
      </c>
      <c r="B12" t="s">
        <v>326</v>
      </c>
      <c r="C12" t="s">
        <v>227</v>
      </c>
      <c r="D12" s="103" t="s">
        <v>200</v>
      </c>
      <c r="E12">
        <v>2.68</v>
      </c>
    </row>
    <row r="13" spans="1:17" x14ac:dyDescent="0.25">
      <c r="A13" t="s">
        <v>329</v>
      </c>
      <c r="B13" t="s">
        <v>330</v>
      </c>
      <c r="C13" t="s">
        <v>227</v>
      </c>
      <c r="D13" s="103" t="s">
        <v>200</v>
      </c>
      <c r="E13">
        <v>2.72</v>
      </c>
    </row>
    <row r="14" spans="1:17" x14ac:dyDescent="0.25">
      <c r="A14" t="s">
        <v>337</v>
      </c>
      <c r="B14" t="s">
        <v>338</v>
      </c>
      <c r="C14" t="s">
        <v>227</v>
      </c>
      <c r="D14" s="103" t="s">
        <v>200</v>
      </c>
      <c r="E14">
        <v>2.76</v>
      </c>
    </row>
    <row r="15" spans="1:17" x14ac:dyDescent="0.25">
      <c r="A15" t="s">
        <v>353</v>
      </c>
      <c r="B15" t="s">
        <v>354</v>
      </c>
      <c r="C15" t="s">
        <v>227</v>
      </c>
      <c r="D15" s="103" t="s">
        <v>200</v>
      </c>
      <c r="E15">
        <v>2.84</v>
      </c>
    </row>
    <row r="16" spans="1:17" x14ac:dyDescent="0.25">
      <c r="A16" t="s">
        <v>345</v>
      </c>
      <c r="B16" t="s">
        <v>346</v>
      </c>
      <c r="C16" t="s">
        <v>227</v>
      </c>
      <c r="D16" s="103" t="s">
        <v>200</v>
      </c>
      <c r="E16">
        <v>2.8</v>
      </c>
    </row>
    <row r="17" spans="1:5" x14ac:dyDescent="0.25">
      <c r="A17" t="s">
        <v>301</v>
      </c>
      <c r="B17" t="s">
        <v>302</v>
      </c>
      <c r="C17" t="s">
        <v>224</v>
      </c>
      <c r="D17" s="103" t="s">
        <v>200</v>
      </c>
      <c r="E17">
        <v>2.12</v>
      </c>
    </row>
    <row r="18" spans="1:5" x14ac:dyDescent="0.25">
      <c r="A18" t="s">
        <v>303</v>
      </c>
      <c r="B18" t="s">
        <v>304</v>
      </c>
      <c r="C18" t="s">
        <v>224</v>
      </c>
      <c r="D18" s="103" t="s">
        <v>200</v>
      </c>
      <c r="E18">
        <v>2.16</v>
      </c>
    </row>
    <row r="19" spans="1:5" x14ac:dyDescent="0.25">
      <c r="A19" t="s">
        <v>305</v>
      </c>
      <c r="B19" t="s">
        <v>306</v>
      </c>
      <c r="C19" t="s">
        <v>224</v>
      </c>
      <c r="D19" s="103" t="s">
        <v>200</v>
      </c>
      <c r="E19">
        <v>2.2000000000000002</v>
      </c>
    </row>
    <row r="20" spans="1:5" x14ac:dyDescent="0.25">
      <c r="A20" t="s">
        <v>307</v>
      </c>
      <c r="B20" t="s">
        <v>308</v>
      </c>
      <c r="C20" t="s">
        <v>224</v>
      </c>
      <c r="D20" s="103" t="s">
        <v>200</v>
      </c>
      <c r="E20">
        <v>2.2400000000000002</v>
      </c>
    </row>
    <row r="21" spans="1:5" x14ac:dyDescent="0.25">
      <c r="A21" t="s">
        <v>309</v>
      </c>
      <c r="B21" t="s">
        <v>310</v>
      </c>
      <c r="C21" t="s">
        <v>224</v>
      </c>
      <c r="D21" s="103" t="s">
        <v>200</v>
      </c>
      <c r="E21">
        <v>2.2999999999999998</v>
      </c>
    </row>
    <row r="22" spans="1:5" x14ac:dyDescent="0.25">
      <c r="A22" t="s">
        <v>359</v>
      </c>
      <c r="B22" t="s">
        <v>360</v>
      </c>
      <c r="C22" t="s">
        <v>224</v>
      </c>
      <c r="D22" t="s">
        <v>208</v>
      </c>
      <c r="E22">
        <v>2.88</v>
      </c>
    </row>
    <row r="23" spans="1:5" x14ac:dyDescent="0.25">
      <c r="A23" t="s">
        <v>363</v>
      </c>
      <c r="B23" t="s">
        <v>364</v>
      </c>
      <c r="C23" t="s">
        <v>224</v>
      </c>
      <c r="D23" t="s">
        <v>208</v>
      </c>
      <c r="E23">
        <v>2.92</v>
      </c>
    </row>
    <row r="24" spans="1:5" x14ac:dyDescent="0.25">
      <c r="A24" t="s">
        <v>367</v>
      </c>
      <c r="B24" t="s">
        <v>368</v>
      </c>
      <c r="C24" t="s">
        <v>224</v>
      </c>
      <c r="D24" t="s">
        <v>208</v>
      </c>
      <c r="E24">
        <v>2.96</v>
      </c>
    </row>
    <row r="25" spans="1:5" x14ac:dyDescent="0.25">
      <c r="A25" t="s">
        <v>371</v>
      </c>
      <c r="B25" t="s">
        <v>372</v>
      </c>
      <c r="C25" t="s">
        <v>224</v>
      </c>
      <c r="D25" t="s">
        <v>208</v>
      </c>
      <c r="E25">
        <v>3</v>
      </c>
    </row>
    <row r="26" spans="1:5" x14ac:dyDescent="0.25">
      <c r="A26" t="s">
        <v>375</v>
      </c>
      <c r="B26" t="s">
        <v>376</v>
      </c>
      <c r="C26" t="s">
        <v>224</v>
      </c>
      <c r="D26" t="s">
        <v>208</v>
      </c>
      <c r="E26">
        <v>3.04</v>
      </c>
    </row>
    <row r="27" spans="1:5" x14ac:dyDescent="0.25">
      <c r="A27" t="s">
        <v>361</v>
      </c>
      <c r="B27" t="s">
        <v>362</v>
      </c>
      <c r="C27" t="s">
        <v>227</v>
      </c>
      <c r="D27" t="s">
        <v>208</v>
      </c>
      <c r="E27">
        <v>2.88</v>
      </c>
    </row>
    <row r="28" spans="1:5" x14ac:dyDescent="0.25">
      <c r="A28" t="s">
        <v>365</v>
      </c>
      <c r="B28" t="s">
        <v>366</v>
      </c>
      <c r="C28" t="s">
        <v>227</v>
      </c>
      <c r="D28" t="s">
        <v>208</v>
      </c>
      <c r="E28">
        <v>2.92</v>
      </c>
    </row>
    <row r="29" spans="1:5" x14ac:dyDescent="0.25">
      <c r="A29" t="s">
        <v>369</v>
      </c>
      <c r="B29" t="s">
        <v>370</v>
      </c>
      <c r="C29" t="s">
        <v>227</v>
      </c>
      <c r="D29" t="s">
        <v>208</v>
      </c>
      <c r="E29">
        <v>2.96</v>
      </c>
    </row>
    <row r="30" spans="1:5" x14ac:dyDescent="0.25">
      <c r="A30" t="s">
        <v>373</v>
      </c>
      <c r="B30" t="s">
        <v>374</v>
      </c>
      <c r="C30" t="s">
        <v>227</v>
      </c>
      <c r="D30" t="s">
        <v>208</v>
      </c>
      <c r="E30">
        <v>3</v>
      </c>
    </row>
    <row r="31" spans="1:5" x14ac:dyDescent="0.25">
      <c r="A31" t="s">
        <v>377</v>
      </c>
      <c r="B31" t="s">
        <v>378</v>
      </c>
      <c r="C31" t="s">
        <v>227</v>
      </c>
      <c r="D31" t="s">
        <v>208</v>
      </c>
      <c r="E31">
        <v>3.04</v>
      </c>
    </row>
    <row r="32" spans="1:5" x14ac:dyDescent="0.25">
      <c r="A32" t="s">
        <v>311</v>
      </c>
      <c r="B32" t="s">
        <v>312</v>
      </c>
      <c r="C32" t="s">
        <v>224</v>
      </c>
      <c r="D32" t="s">
        <v>208</v>
      </c>
      <c r="E32">
        <v>2.3199999999999998</v>
      </c>
    </row>
    <row r="33" spans="1:5" x14ac:dyDescent="0.25">
      <c r="A33" t="s">
        <v>313</v>
      </c>
      <c r="B33" t="s">
        <v>314</v>
      </c>
      <c r="C33" t="s">
        <v>224</v>
      </c>
      <c r="D33" t="s">
        <v>208</v>
      </c>
      <c r="E33">
        <v>2.36</v>
      </c>
    </row>
    <row r="34" spans="1:5" x14ac:dyDescent="0.25">
      <c r="A34" t="s">
        <v>315</v>
      </c>
      <c r="B34" t="s">
        <v>316</v>
      </c>
      <c r="C34" t="s">
        <v>224</v>
      </c>
      <c r="D34" t="s">
        <v>208</v>
      </c>
      <c r="E34">
        <v>2.4</v>
      </c>
    </row>
    <row r="35" spans="1:5" x14ac:dyDescent="0.25">
      <c r="A35" t="s">
        <v>317</v>
      </c>
      <c r="B35" t="s">
        <v>318</v>
      </c>
      <c r="C35" t="s">
        <v>224</v>
      </c>
      <c r="D35" t="s">
        <v>208</v>
      </c>
      <c r="E35">
        <v>2.46</v>
      </c>
    </row>
    <row r="36" spans="1:5" x14ac:dyDescent="0.25">
      <c r="A36" t="s">
        <v>319</v>
      </c>
      <c r="B36" t="s">
        <v>320</v>
      </c>
      <c r="C36" t="s">
        <v>224</v>
      </c>
      <c r="D36" t="s">
        <v>208</v>
      </c>
      <c r="E36">
        <v>2.48</v>
      </c>
    </row>
    <row r="37" spans="1:5" x14ac:dyDescent="0.25">
      <c r="A37" t="s">
        <v>321</v>
      </c>
      <c r="B37" t="s">
        <v>322</v>
      </c>
      <c r="C37" t="s">
        <v>224</v>
      </c>
      <c r="D37" t="s">
        <v>208</v>
      </c>
      <c r="E37">
        <v>2.5</v>
      </c>
    </row>
    <row r="38" spans="1:5" x14ac:dyDescent="0.25">
      <c r="A38" t="s">
        <v>331</v>
      </c>
      <c r="B38" t="s">
        <v>332</v>
      </c>
      <c r="C38" t="s">
        <v>224</v>
      </c>
      <c r="D38" t="s">
        <v>203</v>
      </c>
      <c r="E38">
        <v>2.73</v>
      </c>
    </row>
    <row r="39" spans="1:5" x14ac:dyDescent="0.25">
      <c r="A39" t="s">
        <v>339</v>
      </c>
      <c r="B39" t="s">
        <v>340</v>
      </c>
      <c r="C39" t="s">
        <v>224</v>
      </c>
      <c r="D39" t="s">
        <v>203</v>
      </c>
      <c r="E39">
        <v>2.77</v>
      </c>
    </row>
    <row r="40" spans="1:5" x14ac:dyDescent="0.25">
      <c r="A40" t="s">
        <v>347</v>
      </c>
      <c r="B40" t="s">
        <v>348</v>
      </c>
      <c r="C40" t="s">
        <v>224</v>
      </c>
      <c r="D40" t="s">
        <v>203</v>
      </c>
      <c r="E40">
        <v>2.81</v>
      </c>
    </row>
    <row r="41" spans="1:5" x14ac:dyDescent="0.25">
      <c r="A41" t="s">
        <v>355</v>
      </c>
      <c r="B41" t="s">
        <v>356</v>
      </c>
      <c r="C41" t="s">
        <v>224</v>
      </c>
      <c r="D41" t="s">
        <v>203</v>
      </c>
      <c r="E41">
        <v>2.85</v>
      </c>
    </row>
    <row r="42" spans="1:5" x14ac:dyDescent="0.25">
      <c r="A42" t="s">
        <v>333</v>
      </c>
      <c r="B42" t="s">
        <v>334</v>
      </c>
      <c r="C42" t="s">
        <v>227</v>
      </c>
      <c r="D42" t="s">
        <v>203</v>
      </c>
      <c r="E42">
        <v>2.73</v>
      </c>
    </row>
    <row r="43" spans="1:5" x14ac:dyDescent="0.25">
      <c r="A43" t="s">
        <v>341</v>
      </c>
      <c r="B43" t="s">
        <v>342</v>
      </c>
      <c r="C43" t="s">
        <v>227</v>
      </c>
      <c r="D43" t="s">
        <v>203</v>
      </c>
      <c r="E43">
        <v>2.77</v>
      </c>
    </row>
    <row r="44" spans="1:5" x14ac:dyDescent="0.25">
      <c r="A44" t="s">
        <v>349</v>
      </c>
      <c r="B44" t="s">
        <v>350</v>
      </c>
      <c r="C44" t="s">
        <v>227</v>
      </c>
      <c r="D44" t="s">
        <v>203</v>
      </c>
      <c r="E44">
        <v>2.81</v>
      </c>
    </row>
    <row r="45" spans="1:5" x14ac:dyDescent="0.25">
      <c r="A45" t="s">
        <v>357</v>
      </c>
      <c r="B45" t="s">
        <v>358</v>
      </c>
      <c r="C45" t="s">
        <v>227</v>
      </c>
      <c r="D45" t="s">
        <v>203</v>
      </c>
      <c r="E45">
        <v>2.85</v>
      </c>
    </row>
    <row r="46" spans="1:5" x14ac:dyDescent="0.25">
      <c r="A46" t="s">
        <v>403</v>
      </c>
      <c r="B46" t="s">
        <v>404</v>
      </c>
      <c r="C46" t="s">
        <v>224</v>
      </c>
      <c r="D46" t="s">
        <v>200</v>
      </c>
      <c r="E46">
        <v>20.350000000000001</v>
      </c>
    </row>
    <row r="47" spans="1:5" x14ac:dyDescent="0.25">
      <c r="A47" t="s">
        <v>409</v>
      </c>
      <c r="B47" t="s">
        <v>410</v>
      </c>
      <c r="C47" t="s">
        <v>224</v>
      </c>
      <c r="D47" t="s">
        <v>200</v>
      </c>
      <c r="E47">
        <v>20.77</v>
      </c>
    </row>
    <row r="48" spans="1:5" x14ac:dyDescent="0.25">
      <c r="A48" t="s">
        <v>415</v>
      </c>
      <c r="B48" t="s">
        <v>416</v>
      </c>
      <c r="C48" t="s">
        <v>224</v>
      </c>
      <c r="D48" t="s">
        <v>200</v>
      </c>
      <c r="E48">
        <v>21.13</v>
      </c>
    </row>
    <row r="49" spans="1:5" x14ac:dyDescent="0.25">
      <c r="A49" t="s">
        <v>419</v>
      </c>
      <c r="B49" t="s">
        <v>420</v>
      </c>
      <c r="C49" t="s">
        <v>224</v>
      </c>
      <c r="D49" t="s">
        <v>200</v>
      </c>
      <c r="E49">
        <v>21.42</v>
      </c>
    </row>
    <row r="50" spans="1:5" x14ac:dyDescent="0.25">
      <c r="A50" t="s">
        <v>405</v>
      </c>
      <c r="B50" t="s">
        <v>406</v>
      </c>
      <c r="C50" t="s">
        <v>227</v>
      </c>
      <c r="D50" t="s">
        <v>200</v>
      </c>
      <c r="E50">
        <v>20.350000000000001</v>
      </c>
    </row>
    <row r="51" spans="1:5" x14ac:dyDescent="0.25">
      <c r="A51" t="s">
        <v>411</v>
      </c>
      <c r="B51" t="s">
        <v>412</v>
      </c>
      <c r="C51" t="s">
        <v>227</v>
      </c>
      <c r="D51" t="s">
        <v>200</v>
      </c>
      <c r="E51">
        <v>20.77</v>
      </c>
    </row>
    <row r="52" spans="1:5" x14ac:dyDescent="0.25">
      <c r="A52" t="s">
        <v>417</v>
      </c>
      <c r="B52" t="s">
        <v>418</v>
      </c>
      <c r="C52" t="s">
        <v>227</v>
      </c>
      <c r="D52" t="s">
        <v>200</v>
      </c>
      <c r="E52">
        <v>21.13</v>
      </c>
    </row>
    <row r="53" spans="1:5" x14ac:dyDescent="0.25">
      <c r="A53" t="s">
        <v>421</v>
      </c>
      <c r="B53" t="s">
        <v>422</v>
      </c>
      <c r="C53" t="s">
        <v>227</v>
      </c>
      <c r="D53" t="s">
        <v>200</v>
      </c>
      <c r="E53">
        <v>21.42</v>
      </c>
    </row>
    <row r="54" spans="1:5" x14ac:dyDescent="0.25">
      <c r="A54" t="s">
        <v>423</v>
      </c>
      <c r="B54" t="s">
        <v>424</v>
      </c>
      <c r="C54" t="s">
        <v>224</v>
      </c>
      <c r="D54" t="s">
        <v>200</v>
      </c>
      <c r="E54">
        <v>23.35</v>
      </c>
    </row>
    <row r="55" spans="1:5" x14ac:dyDescent="0.25">
      <c r="A55" t="s">
        <v>427</v>
      </c>
      <c r="B55" t="s">
        <v>428</v>
      </c>
      <c r="C55" t="s">
        <v>224</v>
      </c>
      <c r="D55" t="s">
        <v>200</v>
      </c>
      <c r="E55">
        <v>23.77</v>
      </c>
    </row>
    <row r="56" spans="1:5" x14ac:dyDescent="0.25">
      <c r="A56" t="s">
        <v>431</v>
      </c>
      <c r="B56" t="s">
        <v>432</v>
      </c>
      <c r="C56" t="s">
        <v>224</v>
      </c>
      <c r="D56" t="s">
        <v>200</v>
      </c>
      <c r="E56">
        <v>24.13</v>
      </c>
    </row>
    <row r="57" spans="1:5" x14ac:dyDescent="0.25">
      <c r="A57" t="s">
        <v>425</v>
      </c>
      <c r="B57" t="s">
        <v>426</v>
      </c>
      <c r="C57" t="s">
        <v>227</v>
      </c>
      <c r="D57" t="s">
        <v>200</v>
      </c>
      <c r="E57">
        <v>23.35</v>
      </c>
    </row>
    <row r="58" spans="1:5" x14ac:dyDescent="0.25">
      <c r="A58" t="s">
        <v>429</v>
      </c>
      <c r="B58" t="s">
        <v>430</v>
      </c>
      <c r="C58" t="s">
        <v>227</v>
      </c>
      <c r="D58" t="s">
        <v>200</v>
      </c>
      <c r="E58">
        <v>23.77</v>
      </c>
    </row>
    <row r="59" spans="1:5" x14ac:dyDescent="0.25">
      <c r="A59" t="s">
        <v>433</v>
      </c>
      <c r="B59" t="s">
        <v>434</v>
      </c>
      <c r="C59" t="s">
        <v>227</v>
      </c>
      <c r="D59" t="s">
        <v>200</v>
      </c>
      <c r="E59">
        <v>24.13</v>
      </c>
    </row>
    <row r="60" spans="1:5" x14ac:dyDescent="0.25">
      <c r="A60" t="s">
        <v>435</v>
      </c>
      <c r="B60" t="s">
        <v>436</v>
      </c>
      <c r="C60" t="s">
        <v>224</v>
      </c>
      <c r="D60" t="s">
        <v>203</v>
      </c>
      <c r="E60">
        <v>25.35</v>
      </c>
    </row>
    <row r="61" spans="1:5" x14ac:dyDescent="0.25">
      <c r="A61" t="s">
        <v>437</v>
      </c>
      <c r="B61" t="s">
        <v>438</v>
      </c>
      <c r="C61" t="s">
        <v>224</v>
      </c>
      <c r="D61" t="s">
        <v>203</v>
      </c>
      <c r="E61">
        <v>25.77</v>
      </c>
    </row>
    <row r="62" spans="1:5" x14ac:dyDescent="0.25">
      <c r="A62" t="s">
        <v>439</v>
      </c>
      <c r="B62" t="s">
        <v>440</v>
      </c>
      <c r="C62" t="s">
        <v>224</v>
      </c>
      <c r="D62" t="s">
        <v>203</v>
      </c>
      <c r="E62">
        <v>26.13</v>
      </c>
    </row>
    <row r="63" spans="1:5" x14ac:dyDescent="0.25">
      <c r="A63" t="s">
        <v>443</v>
      </c>
      <c r="B63" t="s">
        <v>444</v>
      </c>
      <c r="C63" t="s">
        <v>224</v>
      </c>
      <c r="D63" t="s">
        <v>203</v>
      </c>
      <c r="E63">
        <v>26.42</v>
      </c>
    </row>
    <row r="64" spans="1:5" x14ac:dyDescent="0.25">
      <c r="A64" t="s">
        <v>441</v>
      </c>
      <c r="B64" t="s">
        <v>442</v>
      </c>
      <c r="C64" t="s">
        <v>227</v>
      </c>
      <c r="D64" t="s">
        <v>203</v>
      </c>
      <c r="E64">
        <v>26.35</v>
      </c>
    </row>
    <row r="65" spans="1:5" x14ac:dyDescent="0.25">
      <c r="A65" t="s">
        <v>445</v>
      </c>
      <c r="B65" t="s">
        <v>446</v>
      </c>
      <c r="C65" t="s">
        <v>227</v>
      </c>
      <c r="D65" t="s">
        <v>203</v>
      </c>
      <c r="E65">
        <v>26.77</v>
      </c>
    </row>
    <row r="66" spans="1:5" x14ac:dyDescent="0.25">
      <c r="A66" t="s">
        <v>447</v>
      </c>
      <c r="B66" t="s">
        <v>448</v>
      </c>
      <c r="C66" t="s">
        <v>227</v>
      </c>
      <c r="D66" t="s">
        <v>203</v>
      </c>
      <c r="E66">
        <v>27.13</v>
      </c>
    </row>
    <row r="67" spans="1:5" x14ac:dyDescent="0.25">
      <c r="A67" t="s">
        <v>453</v>
      </c>
      <c r="B67" t="s">
        <v>454</v>
      </c>
      <c r="C67" t="s">
        <v>227</v>
      </c>
      <c r="D67" t="s">
        <v>203</v>
      </c>
      <c r="E67">
        <v>27.42</v>
      </c>
    </row>
    <row r="68" spans="1:5" x14ac:dyDescent="0.25">
      <c r="A68" t="s">
        <v>449</v>
      </c>
      <c r="B68" t="s">
        <v>450</v>
      </c>
      <c r="C68" t="s">
        <v>224</v>
      </c>
      <c r="D68" t="s">
        <v>208</v>
      </c>
      <c r="E68">
        <v>27.35</v>
      </c>
    </row>
    <row r="69" spans="1:5" x14ac:dyDescent="0.25">
      <c r="A69" t="s">
        <v>455</v>
      </c>
      <c r="B69" t="s">
        <v>456</v>
      </c>
      <c r="C69" t="s">
        <v>224</v>
      </c>
      <c r="D69" t="s">
        <v>208</v>
      </c>
      <c r="E69">
        <v>27.77</v>
      </c>
    </row>
    <row r="70" spans="1:5" x14ac:dyDescent="0.25">
      <c r="A70" t="s">
        <v>459</v>
      </c>
      <c r="B70" t="s">
        <v>460</v>
      </c>
      <c r="C70" t="s">
        <v>224</v>
      </c>
      <c r="D70" t="s">
        <v>208</v>
      </c>
      <c r="E70">
        <v>28.13</v>
      </c>
    </row>
    <row r="71" spans="1:5" x14ac:dyDescent="0.25">
      <c r="A71" t="s">
        <v>463</v>
      </c>
      <c r="B71" t="s">
        <v>464</v>
      </c>
      <c r="C71" t="s">
        <v>224</v>
      </c>
      <c r="D71" t="s">
        <v>208</v>
      </c>
      <c r="E71">
        <v>28.42</v>
      </c>
    </row>
    <row r="72" spans="1:5" x14ac:dyDescent="0.25">
      <c r="A72" t="s">
        <v>467</v>
      </c>
      <c r="B72" t="s">
        <v>468</v>
      </c>
      <c r="C72" t="s">
        <v>224</v>
      </c>
      <c r="D72" t="s">
        <v>208</v>
      </c>
      <c r="E72">
        <v>28.68</v>
      </c>
    </row>
    <row r="73" spans="1:5" x14ac:dyDescent="0.25">
      <c r="A73" t="s">
        <v>451</v>
      </c>
      <c r="B73" t="s">
        <v>452</v>
      </c>
      <c r="C73" t="s">
        <v>227</v>
      </c>
      <c r="D73" t="s">
        <v>208</v>
      </c>
      <c r="E73">
        <v>27.35</v>
      </c>
    </row>
    <row r="74" spans="1:5" x14ac:dyDescent="0.25">
      <c r="A74" t="s">
        <v>457</v>
      </c>
      <c r="B74" t="s">
        <v>458</v>
      </c>
      <c r="C74" t="s">
        <v>227</v>
      </c>
      <c r="D74" t="s">
        <v>208</v>
      </c>
      <c r="E74">
        <v>27.77</v>
      </c>
    </row>
    <row r="75" spans="1:5" x14ac:dyDescent="0.25">
      <c r="A75" t="s">
        <v>461</v>
      </c>
      <c r="B75" t="s">
        <v>462</v>
      </c>
      <c r="C75" t="s">
        <v>227</v>
      </c>
      <c r="D75" t="s">
        <v>208</v>
      </c>
      <c r="E75">
        <v>28.13</v>
      </c>
    </row>
    <row r="76" spans="1:5" x14ac:dyDescent="0.25">
      <c r="A76" t="s">
        <v>465</v>
      </c>
      <c r="B76" t="s">
        <v>466</v>
      </c>
      <c r="C76" t="s">
        <v>227</v>
      </c>
      <c r="D76" t="s">
        <v>208</v>
      </c>
      <c r="E76">
        <v>28.42</v>
      </c>
    </row>
    <row r="77" spans="1:5" x14ac:dyDescent="0.25">
      <c r="A77" t="s">
        <v>469</v>
      </c>
      <c r="B77" t="s">
        <v>470</v>
      </c>
      <c r="C77" t="s">
        <v>227</v>
      </c>
      <c r="D77" t="s">
        <v>208</v>
      </c>
      <c r="E77">
        <v>28.68</v>
      </c>
    </row>
    <row r="78" spans="1:5" x14ac:dyDescent="0.25">
      <c r="A78" t="s">
        <v>379</v>
      </c>
      <c r="B78" t="s">
        <v>380</v>
      </c>
      <c r="C78" t="s">
        <v>224</v>
      </c>
      <c r="D78" t="s">
        <v>200</v>
      </c>
      <c r="E78">
        <v>14.77</v>
      </c>
    </row>
    <row r="79" spans="1:5" x14ac:dyDescent="0.25">
      <c r="A79" t="s">
        <v>381</v>
      </c>
      <c r="B79" t="s">
        <v>382</v>
      </c>
      <c r="C79" t="s">
        <v>224</v>
      </c>
      <c r="D79" t="s">
        <v>200</v>
      </c>
      <c r="E79">
        <v>15.13</v>
      </c>
    </row>
    <row r="80" spans="1:5" x14ac:dyDescent="0.25">
      <c r="A80" t="s">
        <v>383</v>
      </c>
      <c r="B80" t="s">
        <v>384</v>
      </c>
      <c r="C80" t="s">
        <v>224</v>
      </c>
      <c r="D80" t="s">
        <v>200</v>
      </c>
      <c r="E80">
        <v>15.42</v>
      </c>
    </row>
    <row r="81" spans="1:5" x14ac:dyDescent="0.25">
      <c r="A81" t="s">
        <v>385</v>
      </c>
      <c r="B81" t="s">
        <v>386</v>
      </c>
      <c r="C81" t="s">
        <v>224</v>
      </c>
      <c r="D81" t="s">
        <v>200</v>
      </c>
      <c r="E81">
        <v>15.68</v>
      </c>
    </row>
    <row r="82" spans="1:5" x14ac:dyDescent="0.25">
      <c r="A82" t="s">
        <v>387</v>
      </c>
      <c r="B82" t="s">
        <v>388</v>
      </c>
      <c r="C82" t="s">
        <v>224</v>
      </c>
      <c r="D82" t="s">
        <v>208</v>
      </c>
      <c r="E82">
        <v>18.77</v>
      </c>
    </row>
    <row r="83" spans="1:5" x14ac:dyDescent="0.25">
      <c r="A83" t="s">
        <v>389</v>
      </c>
      <c r="B83" t="s">
        <v>390</v>
      </c>
      <c r="C83" t="s">
        <v>224</v>
      </c>
      <c r="D83" t="s">
        <v>208</v>
      </c>
      <c r="E83">
        <v>19.13</v>
      </c>
    </row>
    <row r="84" spans="1:5" x14ac:dyDescent="0.25">
      <c r="A84" t="s">
        <v>391</v>
      </c>
      <c r="B84" t="s">
        <v>392</v>
      </c>
      <c r="C84" t="s">
        <v>224</v>
      </c>
      <c r="D84" t="s">
        <v>208</v>
      </c>
      <c r="E84">
        <v>19.420000000000002</v>
      </c>
    </row>
    <row r="85" spans="1:5" x14ac:dyDescent="0.25">
      <c r="A85" t="s">
        <v>395</v>
      </c>
      <c r="B85" t="s">
        <v>396</v>
      </c>
      <c r="C85" t="s">
        <v>224</v>
      </c>
      <c r="D85" t="s">
        <v>208</v>
      </c>
      <c r="E85">
        <v>19.79</v>
      </c>
    </row>
    <row r="86" spans="1:5" x14ac:dyDescent="0.25">
      <c r="A86" t="s">
        <v>397</v>
      </c>
      <c r="B86" t="s">
        <v>398</v>
      </c>
      <c r="C86" t="s">
        <v>224</v>
      </c>
      <c r="D86" t="s">
        <v>208</v>
      </c>
      <c r="E86">
        <v>19.899999999999999</v>
      </c>
    </row>
    <row r="87" spans="1:5" x14ac:dyDescent="0.25">
      <c r="A87" t="s">
        <v>399</v>
      </c>
      <c r="B87" t="s">
        <v>400</v>
      </c>
      <c r="C87" t="s">
        <v>224</v>
      </c>
      <c r="D87" t="s">
        <v>208</v>
      </c>
      <c r="E87">
        <v>20</v>
      </c>
    </row>
    <row r="88" spans="1:5" x14ac:dyDescent="0.25">
      <c r="A88" t="s">
        <v>393</v>
      </c>
      <c r="B88" t="s">
        <v>394</v>
      </c>
      <c r="C88" t="s">
        <v>224</v>
      </c>
      <c r="D88" t="s">
        <v>208</v>
      </c>
      <c r="E88">
        <v>19.77</v>
      </c>
    </row>
    <row r="89" spans="1:5" x14ac:dyDescent="0.25">
      <c r="A89" t="s">
        <v>401</v>
      </c>
      <c r="B89" t="s">
        <v>402</v>
      </c>
      <c r="C89" t="s">
        <v>224</v>
      </c>
      <c r="D89" t="s">
        <v>208</v>
      </c>
      <c r="E89">
        <v>20.13</v>
      </c>
    </row>
    <row r="90" spans="1:5" x14ac:dyDescent="0.25">
      <c r="A90" t="s">
        <v>407</v>
      </c>
      <c r="B90" t="s">
        <v>408</v>
      </c>
      <c r="C90" t="s">
        <v>224</v>
      </c>
      <c r="D90" t="s">
        <v>208</v>
      </c>
      <c r="E90">
        <v>20.420000000000002</v>
      </c>
    </row>
    <row r="91" spans="1:5" x14ac:dyDescent="0.25">
      <c r="A91" t="s">
        <v>413</v>
      </c>
      <c r="B91" t="s">
        <v>414</v>
      </c>
      <c r="C91" t="s">
        <v>224</v>
      </c>
      <c r="D91" t="s">
        <v>208</v>
      </c>
      <c r="E91">
        <v>20.79</v>
      </c>
    </row>
  </sheetData>
  <sheetProtection algorithmName="SHA-512" hashValue="5McU/K7sQqE2KzpIuW19nHAgzsnSw3vMEaojSefC8BT0zpNAmWAJPLitA7CDamVaLEecrN7xhb0KG0z95ZyuTA==" saltValue="uKUkWw6ktHi8BBJxjiYIFg=="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6DB5-984A-4528-96AA-9845DC576509}">
  <sheetPr codeName="Sheet6"/>
  <dimension ref="A1:O88"/>
  <sheetViews>
    <sheetView workbookViewId="0"/>
  </sheetViews>
  <sheetFormatPr defaultRowHeight="15" x14ac:dyDescent="0.25"/>
  <cols>
    <col min="1" max="1" width="42.28515625" customWidth="1"/>
  </cols>
  <sheetData>
    <row r="1" spans="1:9" x14ac:dyDescent="0.25">
      <c r="A1" s="91" cm="1">
        <f t="array" ref="A1">gradeGenericQuestionRange("Text",A3:E88,10,Question2!A5:E90)</f>
        <v>1.6046516895294189</v>
      </c>
    </row>
    <row r="2" spans="1:9" x14ac:dyDescent="0.25">
      <c r="C2" s="90"/>
      <c r="I2" s="90" t="s">
        <v>214</v>
      </c>
    </row>
    <row r="3" spans="1:9" x14ac:dyDescent="0.25">
      <c r="A3" s="90" t="s">
        <v>183</v>
      </c>
      <c r="B3" t="s">
        <v>210</v>
      </c>
      <c r="C3" s="90" t="s">
        <v>211</v>
      </c>
      <c r="D3" t="s">
        <v>212</v>
      </c>
      <c r="E3" t="s">
        <v>213</v>
      </c>
      <c r="I3" s="90" t="s">
        <v>215</v>
      </c>
    </row>
    <row r="4" spans="1:9" x14ac:dyDescent="0.25">
      <c r="A4" s="90" t="s">
        <v>301</v>
      </c>
      <c r="B4" t="s">
        <v>302</v>
      </c>
      <c r="C4" s="90" t="s">
        <v>224</v>
      </c>
      <c r="D4" t="s">
        <v>200</v>
      </c>
      <c r="E4">
        <v>2.12</v>
      </c>
      <c r="I4" s="90" t="s">
        <v>216</v>
      </c>
    </row>
    <row r="5" spans="1:9" x14ac:dyDescent="0.25">
      <c r="A5" s="90" t="s">
        <v>303</v>
      </c>
      <c r="B5" t="s">
        <v>304</v>
      </c>
      <c r="C5" t="s">
        <v>224</v>
      </c>
      <c r="D5" t="s">
        <v>200</v>
      </c>
      <c r="E5">
        <v>2.16</v>
      </c>
      <c r="I5" s="90" t="s">
        <v>300</v>
      </c>
    </row>
    <row r="6" spans="1:9" x14ac:dyDescent="0.25">
      <c r="A6" s="90" t="s">
        <v>305</v>
      </c>
      <c r="B6" t="s">
        <v>306</v>
      </c>
      <c r="C6" t="s">
        <v>224</v>
      </c>
      <c r="D6" t="s">
        <v>200</v>
      </c>
      <c r="E6">
        <v>2.2000000000000002</v>
      </c>
      <c r="I6" s="90" t="s">
        <v>218</v>
      </c>
    </row>
    <row r="7" spans="1:9" x14ac:dyDescent="0.25">
      <c r="A7" s="90" t="s">
        <v>307</v>
      </c>
      <c r="B7" t="s">
        <v>308</v>
      </c>
      <c r="C7" t="s">
        <v>224</v>
      </c>
      <c r="D7" t="s">
        <v>200</v>
      </c>
      <c r="E7">
        <v>2.2400000000000002</v>
      </c>
      <c r="I7" s="90" t="s">
        <v>219</v>
      </c>
    </row>
    <row r="8" spans="1:9" x14ac:dyDescent="0.25">
      <c r="A8" s="90" t="s">
        <v>309</v>
      </c>
      <c r="B8" t="s">
        <v>310</v>
      </c>
      <c r="C8" t="s">
        <v>224</v>
      </c>
      <c r="D8" t="s">
        <v>200</v>
      </c>
      <c r="E8">
        <v>2.2999999999999998</v>
      </c>
    </row>
    <row r="9" spans="1:9" x14ac:dyDescent="0.25">
      <c r="A9" t="s">
        <v>311</v>
      </c>
      <c r="B9" t="s">
        <v>312</v>
      </c>
      <c r="C9" t="s">
        <v>224</v>
      </c>
      <c r="D9" t="s">
        <v>208</v>
      </c>
      <c r="E9">
        <v>2.3199999999999998</v>
      </c>
    </row>
    <row r="10" spans="1:9" x14ac:dyDescent="0.25">
      <c r="A10" t="s">
        <v>313</v>
      </c>
      <c r="B10" t="s">
        <v>314</v>
      </c>
      <c r="C10" t="s">
        <v>224</v>
      </c>
      <c r="D10" t="s">
        <v>208</v>
      </c>
      <c r="E10">
        <v>2.36</v>
      </c>
    </row>
    <row r="11" spans="1:9" x14ac:dyDescent="0.25">
      <c r="A11" t="s">
        <v>315</v>
      </c>
      <c r="B11" t="s">
        <v>316</v>
      </c>
      <c r="C11" t="s">
        <v>224</v>
      </c>
      <c r="D11" t="s">
        <v>208</v>
      </c>
      <c r="E11">
        <v>2.4</v>
      </c>
    </row>
    <row r="12" spans="1:9" x14ac:dyDescent="0.25">
      <c r="A12" t="s">
        <v>317</v>
      </c>
      <c r="B12" t="s">
        <v>318</v>
      </c>
      <c r="C12" t="s">
        <v>224</v>
      </c>
      <c r="D12" t="s">
        <v>208</v>
      </c>
      <c r="E12">
        <v>2.46</v>
      </c>
      <c r="H12" t="s">
        <v>299</v>
      </c>
      <c r="I12" s="90" t="s">
        <v>217</v>
      </c>
    </row>
    <row r="13" spans="1:9" x14ac:dyDescent="0.25">
      <c r="A13" t="s">
        <v>319</v>
      </c>
      <c r="B13" t="s">
        <v>320</v>
      </c>
      <c r="C13" t="s">
        <v>224</v>
      </c>
      <c r="D13" t="s">
        <v>208</v>
      </c>
      <c r="E13">
        <v>2.48</v>
      </c>
    </row>
    <row r="14" spans="1:9" x14ac:dyDescent="0.25">
      <c r="A14" t="s">
        <v>321</v>
      </c>
      <c r="B14" t="s">
        <v>322</v>
      </c>
      <c r="C14" t="s">
        <v>224</v>
      </c>
      <c r="D14" t="s">
        <v>208</v>
      </c>
      <c r="E14">
        <v>2.5</v>
      </c>
    </row>
    <row r="15" spans="1:9" x14ac:dyDescent="0.25">
      <c r="A15" t="s">
        <v>323</v>
      </c>
      <c r="B15" t="s">
        <v>324</v>
      </c>
      <c r="C15" t="s">
        <v>224</v>
      </c>
      <c r="D15" t="s">
        <v>200</v>
      </c>
      <c r="E15">
        <v>2.68</v>
      </c>
    </row>
    <row r="16" spans="1:9" x14ac:dyDescent="0.25">
      <c r="A16" t="s">
        <v>325</v>
      </c>
      <c r="B16" t="s">
        <v>326</v>
      </c>
      <c r="C16" t="s">
        <v>227</v>
      </c>
      <c r="D16" t="s">
        <v>200</v>
      </c>
      <c r="E16">
        <v>2.68</v>
      </c>
    </row>
    <row r="17" spans="1:15" x14ac:dyDescent="0.25">
      <c r="A17" t="s">
        <v>327</v>
      </c>
      <c r="B17" t="s">
        <v>328</v>
      </c>
      <c r="C17" t="s">
        <v>224</v>
      </c>
      <c r="D17" t="s">
        <v>200</v>
      </c>
      <c r="E17">
        <v>2.72</v>
      </c>
      <c r="K17" t="s">
        <v>183</v>
      </c>
      <c r="L17" t="s">
        <v>210</v>
      </c>
      <c r="M17" s="90" t="s">
        <v>211</v>
      </c>
      <c r="N17" t="s">
        <v>212</v>
      </c>
      <c r="O17" t="s">
        <v>213</v>
      </c>
    </row>
    <row r="18" spans="1:15" x14ac:dyDescent="0.25">
      <c r="A18" t="s">
        <v>329</v>
      </c>
      <c r="B18" t="s">
        <v>330</v>
      </c>
      <c r="C18" t="s">
        <v>227</v>
      </c>
      <c r="D18" t="s">
        <v>200</v>
      </c>
      <c r="E18">
        <v>2.72</v>
      </c>
      <c r="K18" t="s">
        <v>197</v>
      </c>
      <c r="L18" t="s">
        <v>198</v>
      </c>
      <c r="M18" s="90" t="s">
        <v>199</v>
      </c>
      <c r="N18" t="s">
        <v>200</v>
      </c>
      <c r="O18">
        <v>149</v>
      </c>
    </row>
    <row r="19" spans="1:15" x14ac:dyDescent="0.25">
      <c r="A19" t="s">
        <v>331</v>
      </c>
      <c r="B19" t="s">
        <v>332</v>
      </c>
      <c r="C19" t="s">
        <v>224</v>
      </c>
      <c r="D19" t="s">
        <v>203</v>
      </c>
      <c r="E19">
        <v>2.73</v>
      </c>
      <c r="K19" t="s">
        <v>201</v>
      </c>
      <c r="L19" t="s">
        <v>202</v>
      </c>
      <c r="M19" t="s">
        <v>199</v>
      </c>
      <c r="N19" t="s">
        <v>203</v>
      </c>
      <c r="O19">
        <v>168</v>
      </c>
    </row>
    <row r="20" spans="1:15" x14ac:dyDescent="0.25">
      <c r="A20" t="s">
        <v>333</v>
      </c>
      <c r="B20" t="s">
        <v>334</v>
      </c>
      <c r="C20" t="s">
        <v>227</v>
      </c>
      <c r="D20" t="s">
        <v>203</v>
      </c>
      <c r="E20">
        <v>2.73</v>
      </c>
      <c r="K20" t="s">
        <v>204</v>
      </c>
      <c r="L20" t="s">
        <v>205</v>
      </c>
      <c r="M20" t="s">
        <v>199</v>
      </c>
      <c r="N20" t="s">
        <v>200</v>
      </c>
      <c r="O20">
        <v>185</v>
      </c>
    </row>
    <row r="21" spans="1:15" x14ac:dyDescent="0.25">
      <c r="A21" t="s">
        <v>335</v>
      </c>
      <c r="B21" t="s">
        <v>336</v>
      </c>
      <c r="C21" t="s">
        <v>224</v>
      </c>
      <c r="D21" t="s">
        <v>200</v>
      </c>
      <c r="E21">
        <v>2.76</v>
      </c>
      <c r="K21" t="s">
        <v>206</v>
      </c>
      <c r="L21" t="s">
        <v>207</v>
      </c>
      <c r="M21" t="s">
        <v>199</v>
      </c>
      <c r="N21" t="s">
        <v>208</v>
      </c>
      <c r="O21">
        <v>189</v>
      </c>
    </row>
    <row r="22" spans="1:15" x14ac:dyDescent="0.25">
      <c r="A22" t="s">
        <v>337</v>
      </c>
      <c r="B22" t="s">
        <v>338</v>
      </c>
      <c r="C22" t="s">
        <v>227</v>
      </c>
      <c r="D22" t="s">
        <v>200</v>
      </c>
      <c r="E22">
        <v>2.76</v>
      </c>
    </row>
    <row r="23" spans="1:15" x14ac:dyDescent="0.25">
      <c r="A23" t="s">
        <v>339</v>
      </c>
      <c r="B23" t="s">
        <v>340</v>
      </c>
      <c r="C23" t="s">
        <v>224</v>
      </c>
      <c r="D23" t="s">
        <v>203</v>
      </c>
      <c r="E23">
        <v>2.77</v>
      </c>
    </row>
    <row r="24" spans="1:15" x14ac:dyDescent="0.25">
      <c r="A24" t="s">
        <v>341</v>
      </c>
      <c r="B24" t="s">
        <v>342</v>
      </c>
      <c r="C24" t="s">
        <v>227</v>
      </c>
      <c r="D24" t="s">
        <v>203</v>
      </c>
      <c r="E24">
        <v>2.77</v>
      </c>
    </row>
    <row r="25" spans="1:15" x14ac:dyDescent="0.25">
      <c r="A25" t="s">
        <v>343</v>
      </c>
      <c r="B25" t="s">
        <v>344</v>
      </c>
      <c r="C25" t="s">
        <v>224</v>
      </c>
      <c r="D25" t="s">
        <v>200</v>
      </c>
      <c r="E25">
        <v>2.8</v>
      </c>
    </row>
    <row r="26" spans="1:15" x14ac:dyDescent="0.25">
      <c r="A26" t="s">
        <v>345</v>
      </c>
      <c r="B26" t="s">
        <v>346</v>
      </c>
      <c r="C26" t="s">
        <v>227</v>
      </c>
      <c r="D26" t="s">
        <v>200</v>
      </c>
      <c r="E26">
        <v>2.8</v>
      </c>
    </row>
    <row r="27" spans="1:15" x14ac:dyDescent="0.25">
      <c r="A27" t="s">
        <v>347</v>
      </c>
      <c r="B27" t="s">
        <v>348</v>
      </c>
      <c r="C27" t="s">
        <v>224</v>
      </c>
      <c r="D27" t="s">
        <v>203</v>
      </c>
      <c r="E27">
        <v>2.81</v>
      </c>
    </row>
    <row r="28" spans="1:15" x14ac:dyDescent="0.25">
      <c r="A28" t="s">
        <v>349</v>
      </c>
      <c r="B28" t="s">
        <v>350</v>
      </c>
      <c r="C28" t="s">
        <v>227</v>
      </c>
      <c r="D28" t="s">
        <v>203</v>
      </c>
      <c r="E28">
        <v>2.81</v>
      </c>
    </row>
    <row r="29" spans="1:15" x14ac:dyDescent="0.25">
      <c r="A29" t="s">
        <v>351</v>
      </c>
      <c r="B29" t="s">
        <v>352</v>
      </c>
      <c r="C29" t="s">
        <v>224</v>
      </c>
      <c r="D29" t="s">
        <v>200</v>
      </c>
      <c r="E29">
        <v>2.84</v>
      </c>
    </row>
    <row r="30" spans="1:15" x14ac:dyDescent="0.25">
      <c r="A30" t="s">
        <v>353</v>
      </c>
      <c r="B30" t="s">
        <v>354</v>
      </c>
      <c r="C30" t="s">
        <v>227</v>
      </c>
      <c r="D30" t="s">
        <v>200</v>
      </c>
      <c r="E30">
        <v>2.84</v>
      </c>
    </row>
    <row r="31" spans="1:15" x14ac:dyDescent="0.25">
      <c r="A31" t="s">
        <v>355</v>
      </c>
      <c r="B31" t="s">
        <v>356</v>
      </c>
      <c r="C31" t="s">
        <v>224</v>
      </c>
      <c r="D31" t="s">
        <v>203</v>
      </c>
      <c r="E31">
        <v>2.85</v>
      </c>
    </row>
    <row r="32" spans="1:15" x14ac:dyDescent="0.25">
      <c r="A32" t="s">
        <v>357</v>
      </c>
      <c r="B32" t="s">
        <v>358</v>
      </c>
      <c r="C32" t="s">
        <v>227</v>
      </c>
      <c r="D32" t="s">
        <v>203</v>
      </c>
      <c r="E32">
        <v>2.85</v>
      </c>
    </row>
    <row r="33" spans="1:5" x14ac:dyDescent="0.25">
      <c r="A33" t="s">
        <v>359</v>
      </c>
      <c r="B33" t="s">
        <v>360</v>
      </c>
      <c r="C33" t="s">
        <v>224</v>
      </c>
      <c r="D33" t="s">
        <v>208</v>
      </c>
      <c r="E33">
        <v>2.88</v>
      </c>
    </row>
    <row r="34" spans="1:5" x14ac:dyDescent="0.25">
      <c r="A34" t="s">
        <v>361</v>
      </c>
      <c r="B34" t="s">
        <v>362</v>
      </c>
      <c r="C34" t="s">
        <v>227</v>
      </c>
      <c r="D34" t="s">
        <v>208</v>
      </c>
      <c r="E34">
        <v>2.88</v>
      </c>
    </row>
    <row r="35" spans="1:5" x14ac:dyDescent="0.25">
      <c r="A35" t="s">
        <v>363</v>
      </c>
      <c r="B35" t="s">
        <v>364</v>
      </c>
      <c r="C35" t="s">
        <v>224</v>
      </c>
      <c r="D35" t="s">
        <v>208</v>
      </c>
      <c r="E35">
        <v>2.92</v>
      </c>
    </row>
    <row r="36" spans="1:5" x14ac:dyDescent="0.25">
      <c r="A36" t="s">
        <v>365</v>
      </c>
      <c r="B36" t="s">
        <v>366</v>
      </c>
      <c r="C36" t="s">
        <v>227</v>
      </c>
      <c r="D36" t="s">
        <v>208</v>
      </c>
      <c r="E36">
        <v>2.92</v>
      </c>
    </row>
    <row r="37" spans="1:5" x14ac:dyDescent="0.25">
      <c r="A37" t="s">
        <v>367</v>
      </c>
      <c r="B37" t="s">
        <v>368</v>
      </c>
      <c r="C37" t="s">
        <v>224</v>
      </c>
      <c r="D37" t="s">
        <v>208</v>
      </c>
      <c r="E37">
        <v>2.96</v>
      </c>
    </row>
    <row r="38" spans="1:5" x14ac:dyDescent="0.25">
      <c r="A38" t="s">
        <v>369</v>
      </c>
      <c r="B38" t="s">
        <v>370</v>
      </c>
      <c r="C38" t="s">
        <v>227</v>
      </c>
      <c r="D38" t="s">
        <v>208</v>
      </c>
      <c r="E38">
        <v>2.96</v>
      </c>
    </row>
    <row r="39" spans="1:5" x14ac:dyDescent="0.25">
      <c r="A39" t="s">
        <v>371</v>
      </c>
      <c r="B39" t="s">
        <v>372</v>
      </c>
      <c r="C39" t="s">
        <v>224</v>
      </c>
      <c r="D39" t="s">
        <v>208</v>
      </c>
      <c r="E39">
        <v>3</v>
      </c>
    </row>
    <row r="40" spans="1:5" x14ac:dyDescent="0.25">
      <c r="A40" t="s">
        <v>373</v>
      </c>
      <c r="B40" t="s">
        <v>374</v>
      </c>
      <c r="C40" t="s">
        <v>227</v>
      </c>
      <c r="D40" t="s">
        <v>208</v>
      </c>
      <c r="E40">
        <v>3</v>
      </c>
    </row>
    <row r="41" spans="1:5" x14ac:dyDescent="0.25">
      <c r="A41" t="s">
        <v>375</v>
      </c>
      <c r="B41" t="s">
        <v>376</v>
      </c>
      <c r="C41" t="s">
        <v>224</v>
      </c>
      <c r="D41" t="s">
        <v>208</v>
      </c>
      <c r="E41">
        <v>3.04</v>
      </c>
    </row>
    <row r="42" spans="1:5" x14ac:dyDescent="0.25">
      <c r="A42" t="s">
        <v>377</v>
      </c>
      <c r="B42" t="s">
        <v>378</v>
      </c>
      <c r="C42" t="s">
        <v>227</v>
      </c>
      <c r="D42" t="s">
        <v>208</v>
      </c>
      <c r="E42">
        <v>3.04</v>
      </c>
    </row>
    <row r="43" spans="1:5" x14ac:dyDescent="0.25">
      <c r="A43" t="s">
        <v>379</v>
      </c>
      <c r="B43" t="s">
        <v>380</v>
      </c>
      <c r="C43" t="s">
        <v>224</v>
      </c>
      <c r="D43" t="s">
        <v>200</v>
      </c>
      <c r="E43">
        <v>14.77</v>
      </c>
    </row>
    <row r="44" spans="1:5" x14ac:dyDescent="0.25">
      <c r="A44" t="s">
        <v>381</v>
      </c>
      <c r="B44" t="s">
        <v>382</v>
      </c>
      <c r="C44" t="s">
        <v>224</v>
      </c>
      <c r="D44" t="s">
        <v>200</v>
      </c>
      <c r="E44">
        <v>15.13</v>
      </c>
    </row>
    <row r="45" spans="1:5" x14ac:dyDescent="0.25">
      <c r="A45" t="s">
        <v>383</v>
      </c>
      <c r="B45" t="s">
        <v>384</v>
      </c>
      <c r="C45" t="s">
        <v>224</v>
      </c>
      <c r="D45" t="s">
        <v>200</v>
      </c>
      <c r="E45">
        <v>15.42</v>
      </c>
    </row>
    <row r="46" spans="1:5" x14ac:dyDescent="0.25">
      <c r="A46" t="s">
        <v>385</v>
      </c>
      <c r="B46" t="s">
        <v>386</v>
      </c>
      <c r="C46" t="s">
        <v>224</v>
      </c>
      <c r="D46" t="s">
        <v>200</v>
      </c>
      <c r="E46">
        <v>15.68</v>
      </c>
    </row>
    <row r="47" spans="1:5" x14ac:dyDescent="0.25">
      <c r="A47" t="s">
        <v>387</v>
      </c>
      <c r="B47" t="s">
        <v>388</v>
      </c>
      <c r="C47" t="s">
        <v>224</v>
      </c>
      <c r="D47" t="s">
        <v>208</v>
      </c>
      <c r="E47">
        <v>18.77</v>
      </c>
    </row>
    <row r="48" spans="1:5" x14ac:dyDescent="0.25">
      <c r="A48" t="s">
        <v>389</v>
      </c>
      <c r="B48" t="s">
        <v>390</v>
      </c>
      <c r="C48" t="s">
        <v>224</v>
      </c>
      <c r="D48" t="s">
        <v>208</v>
      </c>
      <c r="E48">
        <v>19.13</v>
      </c>
    </row>
    <row r="49" spans="1:5" x14ac:dyDescent="0.25">
      <c r="A49" t="s">
        <v>391</v>
      </c>
      <c r="B49" t="s">
        <v>392</v>
      </c>
      <c r="C49" t="s">
        <v>224</v>
      </c>
      <c r="D49" t="s">
        <v>208</v>
      </c>
      <c r="E49">
        <v>19.420000000000002</v>
      </c>
    </row>
    <row r="50" spans="1:5" x14ac:dyDescent="0.25">
      <c r="A50" t="s">
        <v>393</v>
      </c>
      <c r="B50" t="s">
        <v>394</v>
      </c>
      <c r="C50" t="s">
        <v>224</v>
      </c>
      <c r="D50" t="s">
        <v>208</v>
      </c>
      <c r="E50">
        <v>19.77</v>
      </c>
    </row>
    <row r="51" spans="1:5" x14ac:dyDescent="0.25">
      <c r="A51" t="s">
        <v>395</v>
      </c>
      <c r="B51" t="s">
        <v>396</v>
      </c>
      <c r="C51" t="s">
        <v>224</v>
      </c>
      <c r="D51" t="s">
        <v>208</v>
      </c>
      <c r="E51">
        <v>19.79</v>
      </c>
    </row>
    <row r="52" spans="1:5" x14ac:dyDescent="0.25">
      <c r="A52" t="s">
        <v>397</v>
      </c>
      <c r="B52" t="s">
        <v>398</v>
      </c>
      <c r="C52" t="s">
        <v>224</v>
      </c>
      <c r="D52" t="s">
        <v>208</v>
      </c>
      <c r="E52">
        <v>19.899999999999999</v>
      </c>
    </row>
    <row r="53" spans="1:5" x14ac:dyDescent="0.25">
      <c r="A53" t="s">
        <v>399</v>
      </c>
      <c r="B53" t="s">
        <v>400</v>
      </c>
      <c r="C53" t="s">
        <v>224</v>
      </c>
      <c r="D53" t="s">
        <v>208</v>
      </c>
      <c r="E53">
        <v>20</v>
      </c>
    </row>
    <row r="54" spans="1:5" x14ac:dyDescent="0.25">
      <c r="A54" t="s">
        <v>401</v>
      </c>
      <c r="B54" t="s">
        <v>402</v>
      </c>
      <c r="C54" t="s">
        <v>224</v>
      </c>
      <c r="D54" t="s">
        <v>208</v>
      </c>
      <c r="E54">
        <v>20.13</v>
      </c>
    </row>
    <row r="55" spans="1:5" x14ac:dyDescent="0.25">
      <c r="A55" t="s">
        <v>403</v>
      </c>
      <c r="B55" t="s">
        <v>404</v>
      </c>
      <c r="C55" t="s">
        <v>224</v>
      </c>
      <c r="D55" t="s">
        <v>200</v>
      </c>
      <c r="E55">
        <v>20.350000000000001</v>
      </c>
    </row>
    <row r="56" spans="1:5" x14ac:dyDescent="0.25">
      <c r="A56" t="s">
        <v>405</v>
      </c>
      <c r="B56" t="s">
        <v>406</v>
      </c>
      <c r="C56" t="s">
        <v>227</v>
      </c>
      <c r="D56" t="s">
        <v>200</v>
      </c>
      <c r="E56">
        <v>20.350000000000001</v>
      </c>
    </row>
    <row r="57" spans="1:5" x14ac:dyDescent="0.25">
      <c r="A57" t="s">
        <v>407</v>
      </c>
      <c r="B57" t="s">
        <v>408</v>
      </c>
      <c r="C57" t="s">
        <v>224</v>
      </c>
      <c r="D57" t="s">
        <v>208</v>
      </c>
      <c r="E57">
        <v>20.420000000000002</v>
      </c>
    </row>
    <row r="58" spans="1:5" x14ac:dyDescent="0.25">
      <c r="A58" t="s">
        <v>409</v>
      </c>
      <c r="B58" t="s">
        <v>410</v>
      </c>
      <c r="C58" t="s">
        <v>224</v>
      </c>
      <c r="D58" t="s">
        <v>200</v>
      </c>
      <c r="E58">
        <v>20.77</v>
      </c>
    </row>
    <row r="59" spans="1:5" x14ac:dyDescent="0.25">
      <c r="A59" t="s">
        <v>411</v>
      </c>
      <c r="B59" t="s">
        <v>412</v>
      </c>
      <c r="C59" t="s">
        <v>227</v>
      </c>
      <c r="D59" t="s">
        <v>200</v>
      </c>
      <c r="E59">
        <v>20.77</v>
      </c>
    </row>
    <row r="60" spans="1:5" x14ac:dyDescent="0.25">
      <c r="A60" t="s">
        <v>413</v>
      </c>
      <c r="B60" t="s">
        <v>414</v>
      </c>
      <c r="C60" t="s">
        <v>224</v>
      </c>
      <c r="D60" t="s">
        <v>208</v>
      </c>
      <c r="E60">
        <v>20.79</v>
      </c>
    </row>
    <row r="61" spans="1:5" x14ac:dyDescent="0.25">
      <c r="A61" t="s">
        <v>415</v>
      </c>
      <c r="B61" t="s">
        <v>416</v>
      </c>
      <c r="C61" t="s">
        <v>224</v>
      </c>
      <c r="D61" t="s">
        <v>200</v>
      </c>
      <c r="E61">
        <v>21.13</v>
      </c>
    </row>
    <row r="62" spans="1:5" x14ac:dyDescent="0.25">
      <c r="A62" t="s">
        <v>417</v>
      </c>
      <c r="B62" t="s">
        <v>418</v>
      </c>
      <c r="C62" t="s">
        <v>227</v>
      </c>
      <c r="D62" t="s">
        <v>200</v>
      </c>
      <c r="E62">
        <v>21.13</v>
      </c>
    </row>
    <row r="63" spans="1:5" x14ac:dyDescent="0.25">
      <c r="A63" t="s">
        <v>419</v>
      </c>
      <c r="B63" t="s">
        <v>420</v>
      </c>
      <c r="C63" t="s">
        <v>224</v>
      </c>
      <c r="D63" t="s">
        <v>200</v>
      </c>
      <c r="E63">
        <v>21.42</v>
      </c>
    </row>
    <row r="64" spans="1:5" x14ac:dyDescent="0.25">
      <c r="A64" t="s">
        <v>421</v>
      </c>
      <c r="B64" t="s">
        <v>422</v>
      </c>
      <c r="C64" t="s">
        <v>227</v>
      </c>
      <c r="D64" t="s">
        <v>200</v>
      </c>
      <c r="E64">
        <v>21.42</v>
      </c>
    </row>
    <row r="65" spans="1:5" x14ac:dyDescent="0.25">
      <c r="A65" t="s">
        <v>423</v>
      </c>
      <c r="B65" t="s">
        <v>424</v>
      </c>
      <c r="C65" t="s">
        <v>224</v>
      </c>
      <c r="D65" t="s">
        <v>200</v>
      </c>
      <c r="E65">
        <v>23.35</v>
      </c>
    </row>
    <row r="66" spans="1:5" x14ac:dyDescent="0.25">
      <c r="A66" t="s">
        <v>425</v>
      </c>
      <c r="B66" t="s">
        <v>426</v>
      </c>
      <c r="C66" t="s">
        <v>227</v>
      </c>
      <c r="D66" t="s">
        <v>200</v>
      </c>
      <c r="E66">
        <v>23.35</v>
      </c>
    </row>
    <row r="67" spans="1:5" x14ac:dyDescent="0.25">
      <c r="A67" t="s">
        <v>427</v>
      </c>
      <c r="B67" t="s">
        <v>428</v>
      </c>
      <c r="C67" t="s">
        <v>224</v>
      </c>
      <c r="D67" t="s">
        <v>200</v>
      </c>
      <c r="E67">
        <v>23.77</v>
      </c>
    </row>
    <row r="68" spans="1:5" x14ac:dyDescent="0.25">
      <c r="A68" t="s">
        <v>429</v>
      </c>
      <c r="B68" t="s">
        <v>430</v>
      </c>
      <c r="C68" t="s">
        <v>227</v>
      </c>
      <c r="D68" t="s">
        <v>200</v>
      </c>
      <c r="E68">
        <v>23.77</v>
      </c>
    </row>
    <row r="69" spans="1:5" x14ac:dyDescent="0.25">
      <c r="A69" t="s">
        <v>431</v>
      </c>
      <c r="B69" t="s">
        <v>432</v>
      </c>
      <c r="C69" t="s">
        <v>224</v>
      </c>
      <c r="D69" t="s">
        <v>200</v>
      </c>
      <c r="E69">
        <v>24.13</v>
      </c>
    </row>
    <row r="70" spans="1:5" x14ac:dyDescent="0.25">
      <c r="A70" t="s">
        <v>433</v>
      </c>
      <c r="B70" t="s">
        <v>434</v>
      </c>
      <c r="C70" t="s">
        <v>227</v>
      </c>
      <c r="D70" t="s">
        <v>200</v>
      </c>
      <c r="E70">
        <v>24.13</v>
      </c>
    </row>
    <row r="71" spans="1:5" x14ac:dyDescent="0.25">
      <c r="A71" t="s">
        <v>435</v>
      </c>
      <c r="B71" t="s">
        <v>436</v>
      </c>
      <c r="C71" t="s">
        <v>224</v>
      </c>
      <c r="D71" t="s">
        <v>203</v>
      </c>
      <c r="E71">
        <v>25.35</v>
      </c>
    </row>
    <row r="72" spans="1:5" x14ac:dyDescent="0.25">
      <c r="A72" t="s">
        <v>437</v>
      </c>
      <c r="B72" t="s">
        <v>438</v>
      </c>
      <c r="C72" t="s">
        <v>224</v>
      </c>
      <c r="D72" t="s">
        <v>203</v>
      </c>
      <c r="E72">
        <v>25.77</v>
      </c>
    </row>
    <row r="73" spans="1:5" x14ac:dyDescent="0.25">
      <c r="A73" t="s">
        <v>439</v>
      </c>
      <c r="B73" t="s">
        <v>440</v>
      </c>
      <c r="C73" t="s">
        <v>224</v>
      </c>
      <c r="D73" t="s">
        <v>203</v>
      </c>
      <c r="E73">
        <v>26.13</v>
      </c>
    </row>
    <row r="74" spans="1:5" x14ac:dyDescent="0.25">
      <c r="A74" t="s">
        <v>441</v>
      </c>
      <c r="B74" t="s">
        <v>442</v>
      </c>
      <c r="C74" t="s">
        <v>227</v>
      </c>
      <c r="D74" t="s">
        <v>203</v>
      </c>
      <c r="E74">
        <v>26.35</v>
      </c>
    </row>
    <row r="75" spans="1:5" x14ac:dyDescent="0.25">
      <c r="A75" t="s">
        <v>443</v>
      </c>
      <c r="B75" t="s">
        <v>444</v>
      </c>
      <c r="C75" t="s">
        <v>224</v>
      </c>
      <c r="D75" t="s">
        <v>203</v>
      </c>
      <c r="E75">
        <v>26.42</v>
      </c>
    </row>
    <row r="76" spans="1:5" x14ac:dyDescent="0.25">
      <c r="A76" t="s">
        <v>445</v>
      </c>
      <c r="B76" t="s">
        <v>446</v>
      </c>
      <c r="C76" t="s">
        <v>227</v>
      </c>
      <c r="D76" t="s">
        <v>203</v>
      </c>
      <c r="E76">
        <v>26.77</v>
      </c>
    </row>
    <row r="77" spans="1:5" x14ac:dyDescent="0.25">
      <c r="A77" t="s">
        <v>447</v>
      </c>
      <c r="B77" t="s">
        <v>448</v>
      </c>
      <c r="C77" t="s">
        <v>227</v>
      </c>
      <c r="D77" t="s">
        <v>203</v>
      </c>
      <c r="E77">
        <v>27.13</v>
      </c>
    </row>
    <row r="78" spans="1:5" x14ac:dyDescent="0.25">
      <c r="A78" t="s">
        <v>449</v>
      </c>
      <c r="B78" t="s">
        <v>450</v>
      </c>
      <c r="C78" t="s">
        <v>224</v>
      </c>
      <c r="D78" t="s">
        <v>208</v>
      </c>
      <c r="E78">
        <v>27.35</v>
      </c>
    </row>
    <row r="79" spans="1:5" x14ac:dyDescent="0.25">
      <c r="A79" t="s">
        <v>451</v>
      </c>
      <c r="B79" t="s">
        <v>452</v>
      </c>
      <c r="C79" t="s">
        <v>227</v>
      </c>
      <c r="D79" t="s">
        <v>208</v>
      </c>
      <c r="E79">
        <v>27.35</v>
      </c>
    </row>
    <row r="80" spans="1:5" x14ac:dyDescent="0.25">
      <c r="A80" t="s">
        <v>453</v>
      </c>
      <c r="B80" t="s">
        <v>454</v>
      </c>
      <c r="C80" t="s">
        <v>227</v>
      </c>
      <c r="D80" t="s">
        <v>203</v>
      </c>
      <c r="E80">
        <v>27.42</v>
      </c>
    </row>
    <row r="81" spans="1:5" x14ac:dyDescent="0.25">
      <c r="A81" t="s">
        <v>455</v>
      </c>
      <c r="B81" t="s">
        <v>456</v>
      </c>
      <c r="C81" t="s">
        <v>224</v>
      </c>
      <c r="D81" t="s">
        <v>208</v>
      </c>
      <c r="E81">
        <v>27.77</v>
      </c>
    </row>
    <row r="82" spans="1:5" x14ac:dyDescent="0.25">
      <c r="A82" t="s">
        <v>457</v>
      </c>
      <c r="B82" t="s">
        <v>458</v>
      </c>
      <c r="C82" t="s">
        <v>227</v>
      </c>
      <c r="D82" t="s">
        <v>208</v>
      </c>
      <c r="E82">
        <v>27.77</v>
      </c>
    </row>
    <row r="83" spans="1:5" x14ac:dyDescent="0.25">
      <c r="A83" t="s">
        <v>459</v>
      </c>
      <c r="B83" t="s">
        <v>460</v>
      </c>
      <c r="C83" t="s">
        <v>224</v>
      </c>
      <c r="D83" t="s">
        <v>208</v>
      </c>
      <c r="E83">
        <v>28.13</v>
      </c>
    </row>
    <row r="84" spans="1:5" x14ac:dyDescent="0.25">
      <c r="A84" t="s">
        <v>461</v>
      </c>
      <c r="B84" t="s">
        <v>462</v>
      </c>
      <c r="C84" t="s">
        <v>227</v>
      </c>
      <c r="D84" t="s">
        <v>208</v>
      </c>
      <c r="E84">
        <v>28.13</v>
      </c>
    </row>
    <row r="85" spans="1:5" x14ac:dyDescent="0.25">
      <c r="A85" t="s">
        <v>463</v>
      </c>
      <c r="B85" t="s">
        <v>464</v>
      </c>
      <c r="C85" t="s">
        <v>224</v>
      </c>
      <c r="D85" t="s">
        <v>208</v>
      </c>
      <c r="E85">
        <v>28.42</v>
      </c>
    </row>
    <row r="86" spans="1:5" x14ac:dyDescent="0.25">
      <c r="A86" t="s">
        <v>465</v>
      </c>
      <c r="B86" t="s">
        <v>466</v>
      </c>
      <c r="C86" t="s">
        <v>227</v>
      </c>
      <c r="D86" t="s">
        <v>208</v>
      </c>
      <c r="E86">
        <v>28.42</v>
      </c>
    </row>
    <row r="87" spans="1:5" x14ac:dyDescent="0.25">
      <c r="A87" t="s">
        <v>467</v>
      </c>
      <c r="B87" t="s">
        <v>468</v>
      </c>
      <c r="C87" t="s">
        <v>224</v>
      </c>
      <c r="D87" t="s">
        <v>208</v>
      </c>
      <c r="E87">
        <v>28.68</v>
      </c>
    </row>
    <row r="88" spans="1:5" x14ac:dyDescent="0.25">
      <c r="A88" t="s">
        <v>469</v>
      </c>
      <c r="B88" t="s">
        <v>470</v>
      </c>
      <c r="C88" t="s">
        <v>227</v>
      </c>
      <c r="D88" t="s">
        <v>208</v>
      </c>
      <c r="E88">
        <v>28.68</v>
      </c>
    </row>
  </sheetData>
  <sheetProtection algorithmName="SHA-512" hashValue="jXgslIcGQrn11I3vHkjRvXgZp6V70QM+jGGwgqKM2FQStTFuHSFjnDcaYVMoxLqjQPWnJtshyB123zNQpu/TJA==" saltValue="0LVOEzNmZQdYCJ0IAQGs3g=="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89A5-817A-4F11-A3B4-32F72CEC3DE8}">
  <sheetPr codeName="Sheet7"/>
  <dimension ref="A1:N19"/>
  <sheetViews>
    <sheetView workbookViewId="0">
      <selection activeCell="J12" sqref="J12"/>
    </sheetView>
  </sheetViews>
  <sheetFormatPr defaultRowHeight="15" x14ac:dyDescent="0.25"/>
  <cols>
    <col min="5" max="5" width="23.42578125" customWidth="1"/>
  </cols>
  <sheetData>
    <row r="1" spans="1:14" x14ac:dyDescent="0.25">
      <c r="A1" s="88" t="s">
        <v>164</v>
      </c>
      <c r="E1" t="s">
        <v>177</v>
      </c>
      <c r="G1" t="s">
        <v>296</v>
      </c>
    </row>
    <row r="2" spans="1:14" ht="15.75" x14ac:dyDescent="0.25">
      <c r="A2" s="89" t="s">
        <v>472</v>
      </c>
    </row>
    <row r="3" spans="1:14" x14ac:dyDescent="0.25">
      <c r="A3" t="s">
        <v>168</v>
      </c>
      <c r="G3" t="s">
        <v>209</v>
      </c>
    </row>
    <row r="4" spans="1:14" x14ac:dyDescent="0.25">
      <c r="N4" s="120" t="s">
        <v>576</v>
      </c>
    </row>
    <row r="5" spans="1:14" x14ac:dyDescent="0.25">
      <c r="A5" s="104" t="s">
        <v>183</v>
      </c>
      <c r="B5" s="86" t="s">
        <v>210</v>
      </c>
      <c r="C5" s="86" t="s">
        <v>211</v>
      </c>
      <c r="N5" s="120" t="s">
        <v>577</v>
      </c>
    </row>
    <row r="6" spans="1:14" x14ac:dyDescent="0.25">
      <c r="A6" s="86" t="s">
        <v>225</v>
      </c>
      <c r="B6" s="86" t="s">
        <v>226</v>
      </c>
      <c r="C6" s="86" t="s">
        <v>227</v>
      </c>
      <c r="N6" s="120" t="s">
        <v>694</v>
      </c>
    </row>
    <row r="7" spans="1:14" x14ac:dyDescent="0.25">
      <c r="A7" t="s">
        <v>228</v>
      </c>
      <c r="B7" t="s">
        <v>229</v>
      </c>
      <c r="C7" t="s">
        <v>227</v>
      </c>
      <c r="N7" s="120" t="s">
        <v>578</v>
      </c>
    </row>
    <row r="8" spans="1:14" x14ac:dyDescent="0.25">
      <c r="A8" t="s">
        <v>230</v>
      </c>
      <c r="B8" t="s">
        <v>231</v>
      </c>
      <c r="C8" t="s">
        <v>227</v>
      </c>
      <c r="N8" s="120" t="s">
        <v>579</v>
      </c>
    </row>
    <row r="9" spans="1:14" x14ac:dyDescent="0.25">
      <c r="A9" t="s">
        <v>232</v>
      </c>
      <c r="B9" t="s">
        <v>233</v>
      </c>
      <c r="C9" t="s">
        <v>227</v>
      </c>
    </row>
    <row r="10" spans="1:14" x14ac:dyDescent="0.25">
      <c r="A10" t="s">
        <v>234</v>
      </c>
      <c r="B10" t="s">
        <v>235</v>
      </c>
      <c r="C10" t="s">
        <v>227</v>
      </c>
    </row>
    <row r="11" spans="1:14" x14ac:dyDescent="0.25">
      <c r="A11" t="s">
        <v>236</v>
      </c>
      <c r="B11" t="s">
        <v>237</v>
      </c>
      <c r="C11" t="s">
        <v>227</v>
      </c>
    </row>
    <row r="12" spans="1:14" x14ac:dyDescent="0.25">
      <c r="A12" t="s">
        <v>238</v>
      </c>
      <c r="B12" t="s">
        <v>239</v>
      </c>
      <c r="C12" t="s">
        <v>227</v>
      </c>
    </row>
    <row r="13" spans="1:14" x14ac:dyDescent="0.25">
      <c r="A13" t="s">
        <v>240</v>
      </c>
      <c r="B13" t="s">
        <v>241</v>
      </c>
      <c r="C13" t="s">
        <v>227</v>
      </c>
    </row>
    <row r="14" spans="1:14" x14ac:dyDescent="0.25">
      <c r="A14" t="s">
        <v>242</v>
      </c>
      <c r="B14" t="s">
        <v>243</v>
      </c>
      <c r="C14" t="s">
        <v>227</v>
      </c>
    </row>
    <row r="15" spans="1:14" x14ac:dyDescent="0.25">
      <c r="A15" t="s">
        <v>244</v>
      </c>
      <c r="B15" t="s">
        <v>245</v>
      </c>
      <c r="C15" t="s">
        <v>227</v>
      </c>
    </row>
    <row r="16" spans="1:14" x14ac:dyDescent="0.25">
      <c r="A16" t="s">
        <v>473</v>
      </c>
      <c r="B16" t="s">
        <v>474</v>
      </c>
      <c r="C16" t="s">
        <v>199</v>
      </c>
    </row>
    <row r="17" spans="1:3" x14ac:dyDescent="0.25">
      <c r="A17" t="s">
        <v>246</v>
      </c>
      <c r="B17" t="s">
        <v>247</v>
      </c>
      <c r="C17" t="s">
        <v>227</v>
      </c>
    </row>
    <row r="18" spans="1:3" x14ac:dyDescent="0.25">
      <c r="A18" t="s">
        <v>248</v>
      </c>
      <c r="B18" t="s">
        <v>249</v>
      </c>
      <c r="C18" t="s">
        <v>227</v>
      </c>
    </row>
    <row r="19" spans="1:3" x14ac:dyDescent="0.25">
      <c r="A19" t="s">
        <v>250</v>
      </c>
      <c r="B19" t="s">
        <v>251</v>
      </c>
      <c r="C19" t="s">
        <v>227</v>
      </c>
    </row>
  </sheetData>
  <sheetProtection algorithmName="SHA-512" hashValue="mLBAhsVIlBaMQP1hQcyMvs+in1GUU2KdAeaRAgd4sDWoe5w223Yvtb7tdOb8o0hjvGTFzIAE355pQRGaIl+BmA==" saltValue="G+sZBaVZmkofNrVJUQGy+w==" spinCount="100000"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7DF9-9F58-4E28-BF3B-8AEC4ADF802A}">
  <sheetPr codeName="Sheet8"/>
  <dimension ref="A1:L18"/>
  <sheetViews>
    <sheetView workbookViewId="0">
      <selection activeCell="H3" sqref="H3"/>
    </sheetView>
  </sheetViews>
  <sheetFormatPr defaultRowHeight="15" x14ac:dyDescent="0.25"/>
  <cols>
    <col min="1" max="1" width="15.85546875" customWidth="1"/>
    <col min="2" max="2" width="15.5703125" customWidth="1"/>
  </cols>
  <sheetData>
    <row r="1" spans="1:12" x14ac:dyDescent="0.25">
      <c r="A1" cm="1">
        <f t="array" ref="A1">gradeGenericQuestionRange("Text", A4:C18,10,Question3!A5:C19)</f>
        <v>10.000003814697266</v>
      </c>
    </row>
    <row r="2" spans="1:12" x14ac:dyDescent="0.25">
      <c r="H2" s="90" t="s">
        <v>220</v>
      </c>
    </row>
    <row r="3" spans="1:12" x14ac:dyDescent="0.25">
      <c r="H3" s="90" t="s">
        <v>215</v>
      </c>
    </row>
    <row r="4" spans="1:12" x14ac:dyDescent="0.25">
      <c r="A4" s="91" t="s">
        <v>183</v>
      </c>
      <c r="B4" t="s">
        <v>210</v>
      </c>
      <c r="C4" t="s">
        <v>211</v>
      </c>
      <c r="H4" s="90" t="s">
        <v>471</v>
      </c>
    </row>
    <row r="5" spans="1:12" x14ac:dyDescent="0.25">
      <c r="A5" t="s">
        <v>225</v>
      </c>
      <c r="B5" t="s">
        <v>226</v>
      </c>
      <c r="C5" t="s">
        <v>227</v>
      </c>
      <c r="H5" s="90" t="s">
        <v>222</v>
      </c>
      <c r="L5" t="s">
        <v>199</v>
      </c>
    </row>
    <row r="6" spans="1:12" x14ac:dyDescent="0.25">
      <c r="A6" t="s">
        <v>228</v>
      </c>
      <c r="B6" t="s">
        <v>229</v>
      </c>
      <c r="C6" t="s">
        <v>227</v>
      </c>
      <c r="H6" s="90" t="s">
        <v>223</v>
      </c>
    </row>
    <row r="7" spans="1:12" x14ac:dyDescent="0.25">
      <c r="A7" t="s">
        <v>230</v>
      </c>
      <c r="B7" t="s">
        <v>231</v>
      </c>
      <c r="C7" t="s">
        <v>227</v>
      </c>
    </row>
    <row r="8" spans="1:12" x14ac:dyDescent="0.25">
      <c r="A8" t="s">
        <v>232</v>
      </c>
      <c r="B8" t="s">
        <v>233</v>
      </c>
      <c r="C8" t="s">
        <v>227</v>
      </c>
    </row>
    <row r="9" spans="1:12" x14ac:dyDescent="0.25">
      <c r="A9" t="s">
        <v>234</v>
      </c>
      <c r="B9" t="s">
        <v>235</v>
      </c>
      <c r="C9" t="s">
        <v>227</v>
      </c>
    </row>
    <row r="10" spans="1:12" x14ac:dyDescent="0.25">
      <c r="A10" t="s">
        <v>236</v>
      </c>
      <c r="B10" t="s">
        <v>237</v>
      </c>
      <c r="C10" t="s">
        <v>227</v>
      </c>
    </row>
    <row r="11" spans="1:12" x14ac:dyDescent="0.25">
      <c r="A11" t="s">
        <v>238</v>
      </c>
      <c r="B11" t="s">
        <v>239</v>
      </c>
      <c r="C11" t="s">
        <v>227</v>
      </c>
    </row>
    <row r="12" spans="1:12" x14ac:dyDescent="0.25">
      <c r="A12" t="s">
        <v>240</v>
      </c>
      <c r="B12" t="s">
        <v>241</v>
      </c>
      <c r="C12" t="s">
        <v>227</v>
      </c>
    </row>
    <row r="13" spans="1:12" x14ac:dyDescent="0.25">
      <c r="A13" t="s">
        <v>242</v>
      </c>
      <c r="B13" t="s">
        <v>243</v>
      </c>
      <c r="C13" t="s">
        <v>227</v>
      </c>
    </row>
    <row r="14" spans="1:12" x14ac:dyDescent="0.25">
      <c r="A14" t="s">
        <v>244</v>
      </c>
      <c r="B14" t="s">
        <v>245</v>
      </c>
      <c r="C14" t="s">
        <v>227</v>
      </c>
      <c r="J14" s="90" t="s">
        <v>221</v>
      </c>
    </row>
    <row r="15" spans="1:12" x14ac:dyDescent="0.25">
      <c r="A15" t="s">
        <v>473</v>
      </c>
      <c r="B15" t="s">
        <v>474</v>
      </c>
      <c r="C15" t="s">
        <v>199</v>
      </c>
    </row>
    <row r="16" spans="1:12" x14ac:dyDescent="0.25">
      <c r="A16" t="s">
        <v>246</v>
      </c>
      <c r="B16" t="s">
        <v>247</v>
      </c>
      <c r="C16" t="s">
        <v>227</v>
      </c>
    </row>
    <row r="17" spans="1:3" x14ac:dyDescent="0.25">
      <c r="A17" t="s">
        <v>248</v>
      </c>
      <c r="B17" t="s">
        <v>249</v>
      </c>
      <c r="C17" t="s">
        <v>227</v>
      </c>
    </row>
    <row r="18" spans="1:3" x14ac:dyDescent="0.25">
      <c r="A18" t="s">
        <v>250</v>
      </c>
      <c r="B18" t="s">
        <v>251</v>
      </c>
      <c r="C18" t="s">
        <v>227</v>
      </c>
    </row>
  </sheetData>
  <sheetProtection algorithmName="SHA-512" hashValue="w4IIcQ9LWeCzFoJ3UKE8lkLGVlPk6o6Z9hacX6zWQFYdxHbZ5bq8UEjb4vFKs84bS0mOiFzZvW3jHKrsRSlHqA==" saltValue="nYGWMozrvnCnBWuYdyid1Q=="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F0B3-1218-4B30-AA56-CA3D3BAFC3E9}">
  <sheetPr codeName="Sheet13"/>
  <dimension ref="A1:N295"/>
  <sheetViews>
    <sheetView workbookViewId="0">
      <selection activeCell="N14" sqref="N14"/>
    </sheetView>
  </sheetViews>
  <sheetFormatPr defaultRowHeight="15" x14ac:dyDescent="0.25"/>
  <cols>
    <col min="1" max="1" width="15.28515625" customWidth="1"/>
    <col min="2" max="2" width="21.28515625" customWidth="1"/>
    <col min="4" max="4" width="11.5703125" customWidth="1"/>
  </cols>
  <sheetData>
    <row r="1" spans="1:14" x14ac:dyDescent="0.25">
      <c r="A1" s="87" t="s">
        <v>167</v>
      </c>
      <c r="D1" t="s">
        <v>177</v>
      </c>
      <c r="G1" t="s">
        <v>185</v>
      </c>
      <c r="H1" t="s">
        <v>252</v>
      </c>
    </row>
    <row r="2" spans="1:14" ht="60" customHeight="1" x14ac:dyDescent="0.25">
      <c r="A2" s="131" t="s">
        <v>478</v>
      </c>
      <c r="B2" s="132"/>
      <c r="C2" s="132"/>
      <c r="D2" s="132"/>
      <c r="E2" s="132"/>
      <c r="F2" s="132"/>
      <c r="G2" s="132"/>
      <c r="H2" s="132"/>
    </row>
    <row r="3" spans="1:14" ht="15.75" x14ac:dyDescent="0.25">
      <c r="A3" s="89" t="s">
        <v>173</v>
      </c>
      <c r="K3" t="s">
        <v>209</v>
      </c>
    </row>
    <row r="4" spans="1:14" x14ac:dyDescent="0.25">
      <c r="N4" s="120" t="s">
        <v>583</v>
      </c>
    </row>
    <row r="5" spans="1:14" x14ac:dyDescent="0.25">
      <c r="A5" s="86" t="s">
        <v>253</v>
      </c>
      <c r="B5" s="86" t="s">
        <v>254</v>
      </c>
      <c r="C5" t="s">
        <v>255</v>
      </c>
      <c r="D5" s="93" t="s">
        <v>256</v>
      </c>
      <c r="N5" s="120" t="s">
        <v>584</v>
      </c>
    </row>
    <row r="6" spans="1:14" x14ac:dyDescent="0.25">
      <c r="A6" s="86">
        <v>48567</v>
      </c>
      <c r="B6" s="117">
        <v>41227</v>
      </c>
      <c r="C6">
        <v>14948</v>
      </c>
      <c r="D6" s="7">
        <v>7</v>
      </c>
      <c r="N6" s="120" t="s">
        <v>585</v>
      </c>
    </row>
    <row r="7" spans="1:14" x14ac:dyDescent="0.25">
      <c r="A7">
        <v>48568</v>
      </c>
      <c r="B7" s="118">
        <v>41227</v>
      </c>
      <c r="C7">
        <v>19296</v>
      </c>
      <c r="D7" s="7">
        <v>7</v>
      </c>
      <c r="N7" s="120" t="s">
        <v>586</v>
      </c>
    </row>
    <row r="8" spans="1:14" x14ac:dyDescent="0.25">
      <c r="A8">
        <v>48569</v>
      </c>
      <c r="B8" s="118">
        <v>41227</v>
      </c>
      <c r="C8">
        <v>20726</v>
      </c>
      <c r="D8" s="7">
        <v>8</v>
      </c>
      <c r="N8" s="120" t="s">
        <v>698</v>
      </c>
    </row>
    <row r="9" spans="1:14" x14ac:dyDescent="0.25">
      <c r="A9">
        <v>48570</v>
      </c>
      <c r="B9" s="118">
        <v>41227</v>
      </c>
      <c r="C9">
        <v>26504</v>
      </c>
      <c r="D9" s="7">
        <v>6</v>
      </c>
      <c r="N9" s="120" t="s">
        <v>587</v>
      </c>
    </row>
    <row r="10" spans="1:14" x14ac:dyDescent="0.25">
      <c r="A10">
        <v>48572</v>
      </c>
      <c r="B10" s="118">
        <v>41227</v>
      </c>
      <c r="C10">
        <v>28756</v>
      </c>
      <c r="D10" s="7">
        <v>7</v>
      </c>
    </row>
    <row r="11" spans="1:14" x14ac:dyDescent="0.25">
      <c r="A11">
        <v>48578</v>
      </c>
      <c r="B11" s="118">
        <v>41228</v>
      </c>
      <c r="C11">
        <v>17207</v>
      </c>
      <c r="D11" s="7">
        <v>10</v>
      </c>
    </row>
    <row r="12" spans="1:14" x14ac:dyDescent="0.25">
      <c r="A12">
        <v>48580</v>
      </c>
      <c r="B12" s="118">
        <v>41228</v>
      </c>
      <c r="C12">
        <v>12231</v>
      </c>
      <c r="D12" s="7">
        <v>8</v>
      </c>
    </row>
    <row r="13" spans="1:14" x14ac:dyDescent="0.25">
      <c r="A13">
        <v>48589</v>
      </c>
      <c r="B13" s="118">
        <v>41229</v>
      </c>
      <c r="C13">
        <v>17646</v>
      </c>
      <c r="D13" s="7">
        <v>7</v>
      </c>
    </row>
    <row r="14" spans="1:14" x14ac:dyDescent="0.25">
      <c r="A14">
        <v>48590</v>
      </c>
      <c r="B14" s="118">
        <v>41229</v>
      </c>
      <c r="C14">
        <v>28757</v>
      </c>
      <c r="D14" s="7">
        <v>7</v>
      </c>
    </row>
    <row r="15" spans="1:14" x14ac:dyDescent="0.25">
      <c r="A15">
        <v>48591</v>
      </c>
      <c r="B15" s="118">
        <v>41229</v>
      </c>
      <c r="C15">
        <v>28739</v>
      </c>
      <c r="D15" s="7">
        <v>7</v>
      </c>
    </row>
    <row r="16" spans="1:14" x14ac:dyDescent="0.25">
      <c r="A16">
        <v>48592</v>
      </c>
      <c r="B16" s="118">
        <v>41229</v>
      </c>
      <c r="C16">
        <v>12266</v>
      </c>
      <c r="D16" s="7">
        <v>8</v>
      </c>
    </row>
    <row r="17" spans="1:4" x14ac:dyDescent="0.25">
      <c r="A17">
        <v>48593</v>
      </c>
      <c r="B17" s="118">
        <v>41229</v>
      </c>
      <c r="C17">
        <v>12394</v>
      </c>
      <c r="D17" s="7">
        <v>10</v>
      </c>
    </row>
    <row r="18" spans="1:4" x14ac:dyDescent="0.25">
      <c r="A18">
        <v>48599</v>
      </c>
      <c r="B18" s="118">
        <v>41230</v>
      </c>
      <c r="C18">
        <v>15002</v>
      </c>
      <c r="D18" s="7">
        <v>7</v>
      </c>
    </row>
    <row r="19" spans="1:4" x14ac:dyDescent="0.25">
      <c r="A19">
        <v>48600</v>
      </c>
      <c r="B19" s="118">
        <v>41230</v>
      </c>
      <c r="C19">
        <v>18185</v>
      </c>
      <c r="D19" s="7">
        <v>8</v>
      </c>
    </row>
    <row r="20" spans="1:4" x14ac:dyDescent="0.25">
      <c r="A20">
        <v>48601</v>
      </c>
      <c r="B20" s="118">
        <v>41230</v>
      </c>
      <c r="C20">
        <v>28728</v>
      </c>
      <c r="D20" s="7">
        <v>7</v>
      </c>
    </row>
    <row r="21" spans="1:4" x14ac:dyDescent="0.25">
      <c r="A21">
        <v>48602</v>
      </c>
      <c r="B21" s="118">
        <v>41230</v>
      </c>
      <c r="C21">
        <v>12237</v>
      </c>
      <c r="D21" s="7">
        <v>8</v>
      </c>
    </row>
    <row r="22" spans="1:4" x14ac:dyDescent="0.25">
      <c r="A22">
        <v>48603</v>
      </c>
      <c r="B22" s="118">
        <v>41230</v>
      </c>
      <c r="C22">
        <v>28751</v>
      </c>
      <c r="D22" s="7">
        <v>7</v>
      </c>
    </row>
    <row r="23" spans="1:4" x14ac:dyDescent="0.25">
      <c r="A23">
        <v>48613</v>
      </c>
      <c r="B23" s="118">
        <v>41231</v>
      </c>
      <c r="C23">
        <v>14965</v>
      </c>
      <c r="D23" s="7">
        <v>7</v>
      </c>
    </row>
    <row r="24" spans="1:4" x14ac:dyDescent="0.25">
      <c r="A24">
        <v>48614</v>
      </c>
      <c r="B24" s="118">
        <v>41231</v>
      </c>
      <c r="C24">
        <v>14976</v>
      </c>
      <c r="D24" s="7">
        <v>7</v>
      </c>
    </row>
    <row r="25" spans="1:4" x14ac:dyDescent="0.25">
      <c r="A25">
        <v>48615</v>
      </c>
      <c r="B25" s="118">
        <v>41231</v>
      </c>
      <c r="C25">
        <v>19360</v>
      </c>
      <c r="D25" s="7">
        <v>10</v>
      </c>
    </row>
    <row r="26" spans="1:4" x14ac:dyDescent="0.25">
      <c r="A26">
        <v>48618</v>
      </c>
      <c r="B26" s="118">
        <v>41231</v>
      </c>
      <c r="C26">
        <v>27259</v>
      </c>
      <c r="D26" s="7">
        <v>6</v>
      </c>
    </row>
    <row r="27" spans="1:4" x14ac:dyDescent="0.25">
      <c r="A27">
        <v>48620</v>
      </c>
      <c r="B27" s="118">
        <v>41231</v>
      </c>
      <c r="C27">
        <v>20665</v>
      </c>
      <c r="D27" s="7">
        <v>6</v>
      </c>
    </row>
    <row r="28" spans="1:4" x14ac:dyDescent="0.25">
      <c r="A28">
        <v>48627</v>
      </c>
      <c r="B28" s="118">
        <v>41232</v>
      </c>
      <c r="C28">
        <v>28758</v>
      </c>
      <c r="D28" s="7">
        <v>7</v>
      </c>
    </row>
    <row r="29" spans="1:4" x14ac:dyDescent="0.25">
      <c r="A29">
        <v>48628</v>
      </c>
      <c r="B29" s="118">
        <v>41232</v>
      </c>
      <c r="C29">
        <v>12381</v>
      </c>
      <c r="D29" s="7">
        <v>10</v>
      </c>
    </row>
    <row r="30" spans="1:4" x14ac:dyDescent="0.25">
      <c r="A30">
        <v>48631</v>
      </c>
      <c r="B30" s="118">
        <v>41233</v>
      </c>
      <c r="C30">
        <v>17185</v>
      </c>
      <c r="D30" s="7">
        <v>10</v>
      </c>
    </row>
    <row r="31" spans="1:4" x14ac:dyDescent="0.25">
      <c r="A31">
        <v>48632</v>
      </c>
      <c r="B31" s="118">
        <v>41233</v>
      </c>
      <c r="C31">
        <v>17192</v>
      </c>
      <c r="D31" s="7">
        <v>10</v>
      </c>
    </row>
    <row r="32" spans="1:4" x14ac:dyDescent="0.25">
      <c r="A32">
        <v>48633</v>
      </c>
      <c r="B32" s="118">
        <v>41233</v>
      </c>
      <c r="C32">
        <v>20875</v>
      </c>
      <c r="D32" s="7">
        <v>10</v>
      </c>
    </row>
    <row r="33" spans="1:4" x14ac:dyDescent="0.25">
      <c r="A33">
        <v>48634</v>
      </c>
      <c r="B33" s="118">
        <v>41233</v>
      </c>
      <c r="C33">
        <v>12230</v>
      </c>
      <c r="D33" s="7">
        <v>8</v>
      </c>
    </row>
    <row r="34" spans="1:4" x14ac:dyDescent="0.25">
      <c r="A34">
        <v>48635</v>
      </c>
      <c r="B34" s="118">
        <v>41233</v>
      </c>
      <c r="C34">
        <v>28750</v>
      </c>
      <c r="D34" s="7">
        <v>7</v>
      </c>
    </row>
    <row r="35" spans="1:4" x14ac:dyDescent="0.25">
      <c r="A35">
        <v>48639</v>
      </c>
      <c r="B35" s="118">
        <v>41233</v>
      </c>
      <c r="C35">
        <v>20670</v>
      </c>
      <c r="D35" s="7">
        <v>6</v>
      </c>
    </row>
    <row r="36" spans="1:4" x14ac:dyDescent="0.25">
      <c r="A36">
        <v>48642</v>
      </c>
      <c r="B36" s="118">
        <v>41234</v>
      </c>
      <c r="C36">
        <v>15061</v>
      </c>
      <c r="D36" s="7">
        <v>7</v>
      </c>
    </row>
    <row r="37" spans="1:4" x14ac:dyDescent="0.25">
      <c r="A37">
        <v>48643</v>
      </c>
      <c r="B37" s="118">
        <v>41234</v>
      </c>
      <c r="C37">
        <v>20869</v>
      </c>
      <c r="D37" s="7">
        <v>10</v>
      </c>
    </row>
    <row r="38" spans="1:4" x14ac:dyDescent="0.25">
      <c r="A38">
        <v>48653</v>
      </c>
      <c r="B38" s="118">
        <v>41234</v>
      </c>
      <c r="C38">
        <v>20680</v>
      </c>
      <c r="D38" s="7">
        <v>6</v>
      </c>
    </row>
    <row r="39" spans="1:4" x14ac:dyDescent="0.25">
      <c r="A39">
        <v>48654</v>
      </c>
      <c r="B39" s="118">
        <v>41235</v>
      </c>
      <c r="C39">
        <v>17094</v>
      </c>
      <c r="D39" s="7">
        <v>10</v>
      </c>
    </row>
    <row r="40" spans="1:4" x14ac:dyDescent="0.25">
      <c r="A40">
        <v>48655</v>
      </c>
      <c r="B40" s="118">
        <v>41235</v>
      </c>
      <c r="C40">
        <v>18183</v>
      </c>
      <c r="D40" s="7">
        <v>8</v>
      </c>
    </row>
    <row r="41" spans="1:4" x14ac:dyDescent="0.25">
      <c r="A41">
        <v>48656</v>
      </c>
      <c r="B41" s="118">
        <v>41235</v>
      </c>
      <c r="C41">
        <v>20829</v>
      </c>
      <c r="D41" s="7">
        <v>8</v>
      </c>
    </row>
    <row r="42" spans="1:4" x14ac:dyDescent="0.25">
      <c r="A42">
        <v>48657</v>
      </c>
      <c r="B42" s="118">
        <v>41235</v>
      </c>
      <c r="C42">
        <v>15067</v>
      </c>
      <c r="D42" s="7">
        <v>7</v>
      </c>
    </row>
    <row r="43" spans="1:4" x14ac:dyDescent="0.25">
      <c r="A43">
        <v>48658</v>
      </c>
      <c r="B43" s="118">
        <v>41235</v>
      </c>
      <c r="C43">
        <v>12228</v>
      </c>
      <c r="D43" s="7">
        <v>8</v>
      </c>
    </row>
    <row r="44" spans="1:4" x14ac:dyDescent="0.25">
      <c r="A44">
        <v>48659</v>
      </c>
      <c r="B44" s="118">
        <v>41235</v>
      </c>
      <c r="C44">
        <v>28749</v>
      </c>
      <c r="D44" s="7">
        <v>7</v>
      </c>
    </row>
    <row r="45" spans="1:4" x14ac:dyDescent="0.25">
      <c r="A45">
        <v>48665</v>
      </c>
      <c r="B45" s="118">
        <v>41235</v>
      </c>
      <c r="C45">
        <v>20872</v>
      </c>
      <c r="D45" s="7">
        <v>10</v>
      </c>
    </row>
    <row r="46" spans="1:4" x14ac:dyDescent="0.25">
      <c r="A46">
        <v>48667</v>
      </c>
      <c r="B46" s="118">
        <v>41236</v>
      </c>
      <c r="C46">
        <v>19341</v>
      </c>
      <c r="D46" s="7">
        <v>10</v>
      </c>
    </row>
    <row r="47" spans="1:4" x14ac:dyDescent="0.25">
      <c r="A47">
        <v>48668</v>
      </c>
      <c r="B47" s="118">
        <v>41236</v>
      </c>
      <c r="C47">
        <v>18626</v>
      </c>
      <c r="D47" s="7">
        <v>8</v>
      </c>
    </row>
    <row r="48" spans="1:4" x14ac:dyDescent="0.25">
      <c r="A48">
        <v>48669</v>
      </c>
      <c r="B48" s="118">
        <v>41236</v>
      </c>
      <c r="C48">
        <v>19293</v>
      </c>
      <c r="D48" s="7">
        <v>7</v>
      </c>
    </row>
    <row r="49" spans="1:4" x14ac:dyDescent="0.25">
      <c r="A49">
        <v>48671</v>
      </c>
      <c r="B49" s="118">
        <v>41236</v>
      </c>
      <c r="C49">
        <v>12270</v>
      </c>
      <c r="D49" s="7">
        <v>8</v>
      </c>
    </row>
    <row r="50" spans="1:4" x14ac:dyDescent="0.25">
      <c r="A50">
        <v>48675</v>
      </c>
      <c r="B50" s="118">
        <v>41237</v>
      </c>
      <c r="C50">
        <v>15079</v>
      </c>
      <c r="D50" s="7">
        <v>7</v>
      </c>
    </row>
    <row r="51" spans="1:4" x14ac:dyDescent="0.25">
      <c r="A51">
        <v>48677</v>
      </c>
      <c r="B51" s="118">
        <v>41237</v>
      </c>
      <c r="C51">
        <v>12391</v>
      </c>
      <c r="D51" s="7">
        <v>10</v>
      </c>
    </row>
    <row r="52" spans="1:4" x14ac:dyDescent="0.25">
      <c r="A52">
        <v>48680</v>
      </c>
      <c r="B52" s="118">
        <v>41237</v>
      </c>
      <c r="C52">
        <v>27242</v>
      </c>
      <c r="D52" s="7">
        <v>6</v>
      </c>
    </row>
    <row r="53" spans="1:4" x14ac:dyDescent="0.25">
      <c r="A53">
        <v>48683</v>
      </c>
      <c r="B53" s="118">
        <v>41238</v>
      </c>
      <c r="C53">
        <v>17648</v>
      </c>
      <c r="D53" s="7">
        <v>7</v>
      </c>
    </row>
    <row r="54" spans="1:4" x14ac:dyDescent="0.25">
      <c r="A54">
        <v>48684</v>
      </c>
      <c r="B54" s="118">
        <v>41238</v>
      </c>
      <c r="C54">
        <v>16534</v>
      </c>
      <c r="D54" s="7">
        <v>8</v>
      </c>
    </row>
    <row r="55" spans="1:4" x14ac:dyDescent="0.25">
      <c r="A55">
        <v>48686</v>
      </c>
      <c r="B55" s="118">
        <v>41238</v>
      </c>
      <c r="C55">
        <v>25999</v>
      </c>
      <c r="D55" s="7">
        <v>6</v>
      </c>
    </row>
    <row r="56" spans="1:4" x14ac:dyDescent="0.25">
      <c r="A56">
        <v>48687</v>
      </c>
      <c r="B56" s="118">
        <v>41238</v>
      </c>
      <c r="C56">
        <v>12317</v>
      </c>
      <c r="D56" s="7">
        <v>10</v>
      </c>
    </row>
    <row r="57" spans="1:4" x14ac:dyDescent="0.25">
      <c r="A57">
        <v>48692</v>
      </c>
      <c r="B57" s="118">
        <v>41239</v>
      </c>
      <c r="C57">
        <v>18171</v>
      </c>
      <c r="D57" s="7">
        <v>8</v>
      </c>
    </row>
    <row r="58" spans="1:4" x14ac:dyDescent="0.25">
      <c r="A58">
        <v>48693</v>
      </c>
      <c r="B58" s="118">
        <v>41239</v>
      </c>
      <c r="C58">
        <v>25995</v>
      </c>
      <c r="D58" s="7">
        <v>6</v>
      </c>
    </row>
    <row r="59" spans="1:4" x14ac:dyDescent="0.25">
      <c r="A59">
        <v>48694</v>
      </c>
      <c r="B59" s="118">
        <v>41239</v>
      </c>
      <c r="C59">
        <v>12315</v>
      </c>
      <c r="D59" s="7">
        <v>10</v>
      </c>
    </row>
    <row r="60" spans="1:4" x14ac:dyDescent="0.25">
      <c r="D60" s="93"/>
    </row>
    <row r="61" spans="1:4" x14ac:dyDescent="0.25">
      <c r="D61" s="93"/>
    </row>
    <row r="62" spans="1:4" x14ac:dyDescent="0.25">
      <c r="D62" s="93"/>
    </row>
    <row r="63" spans="1:4" x14ac:dyDescent="0.25">
      <c r="D63" s="93"/>
    </row>
    <row r="64" spans="1: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row r="295" spans="4:4" x14ac:dyDescent="0.25">
      <c r="D295" s="93"/>
    </row>
  </sheetData>
  <sheetProtection algorithmName="SHA-512" hashValue="PyPRlQyFQ3mRyZSxw8tUtNqrEVq5hdgdv2igcZVCr/Pvqgh1ZIEQCnFXfTYYNUcMqqCMQMVGnq8xvYo8MGg3ag==" saltValue="PV3/SfqU1QBjj/hPoorlMQ==" spinCount="100000" sheet="1" objects="1" scenarios="1"/>
  <mergeCells count="1">
    <mergeCell ref="A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308C0-A81F-4087-A220-6918D4117DA0}">
  <sheetPr codeName="Sheet14"/>
  <dimension ref="A2:S294"/>
  <sheetViews>
    <sheetView workbookViewId="0">
      <selection activeCell="B5" sqref="B5:B58"/>
    </sheetView>
  </sheetViews>
  <sheetFormatPr defaultRowHeight="15" x14ac:dyDescent="0.25"/>
  <cols>
    <col min="2" max="2" width="18.7109375" customWidth="1"/>
    <col min="4" max="4" width="12.7109375" customWidth="1"/>
  </cols>
  <sheetData>
    <row r="2" spans="1:19" x14ac:dyDescent="0.25">
      <c r="A2" cm="1">
        <f t="array" ref="A2">gradeGenericQuestionRange("Text",A4:D58,10,Question4!A5:D59)</f>
        <v>10.000012397766113</v>
      </c>
      <c r="G2" s="90" t="s">
        <v>257</v>
      </c>
    </row>
    <row r="3" spans="1:19" x14ac:dyDescent="0.25">
      <c r="G3" s="90" t="s">
        <v>258</v>
      </c>
    </row>
    <row r="4" spans="1:19" x14ac:dyDescent="0.25">
      <c r="A4" t="s">
        <v>253</v>
      </c>
      <c r="B4" s="103" t="s">
        <v>254</v>
      </c>
      <c r="C4" t="s">
        <v>255</v>
      </c>
      <c r="D4" s="93" t="s">
        <v>256</v>
      </c>
      <c r="G4" s="90" t="s">
        <v>477</v>
      </c>
    </row>
    <row r="5" spans="1:19" x14ac:dyDescent="0.25">
      <c r="A5">
        <v>48567</v>
      </c>
      <c r="B5" s="118">
        <v>41227</v>
      </c>
      <c r="C5">
        <v>14948</v>
      </c>
      <c r="D5" s="92">
        <v>7</v>
      </c>
      <c r="G5" s="90" t="s">
        <v>259</v>
      </c>
    </row>
    <row r="6" spans="1:19" x14ac:dyDescent="0.25">
      <c r="A6">
        <v>48568</v>
      </c>
      <c r="B6" s="118">
        <v>41227</v>
      </c>
      <c r="C6">
        <v>19296</v>
      </c>
      <c r="D6" s="92">
        <v>7</v>
      </c>
      <c r="G6" s="90" t="s">
        <v>260</v>
      </c>
    </row>
    <row r="7" spans="1:19" x14ac:dyDescent="0.25">
      <c r="A7">
        <v>48569</v>
      </c>
      <c r="B7" s="118">
        <v>41227</v>
      </c>
      <c r="C7">
        <v>20726</v>
      </c>
      <c r="D7" s="92">
        <v>8</v>
      </c>
    </row>
    <row r="8" spans="1:19" x14ac:dyDescent="0.25">
      <c r="A8">
        <v>48570</v>
      </c>
      <c r="B8" s="118">
        <v>41227</v>
      </c>
      <c r="C8">
        <v>26504</v>
      </c>
      <c r="D8" s="92">
        <v>6</v>
      </c>
    </row>
    <row r="9" spans="1:19" x14ac:dyDescent="0.25">
      <c r="A9">
        <v>48572</v>
      </c>
      <c r="B9" s="118">
        <v>41227</v>
      </c>
      <c r="C9">
        <v>28756</v>
      </c>
      <c r="D9" s="92">
        <v>7</v>
      </c>
    </row>
    <row r="10" spans="1:19" x14ac:dyDescent="0.25">
      <c r="A10">
        <v>48578</v>
      </c>
      <c r="B10" s="118">
        <v>41228</v>
      </c>
      <c r="C10">
        <v>17207</v>
      </c>
      <c r="D10" s="92">
        <v>10</v>
      </c>
    </row>
    <row r="11" spans="1:19" x14ac:dyDescent="0.25">
      <c r="A11">
        <v>48580</v>
      </c>
      <c r="B11" s="118">
        <v>41228</v>
      </c>
      <c r="C11">
        <v>12231</v>
      </c>
      <c r="D11" s="92">
        <v>8</v>
      </c>
    </row>
    <row r="12" spans="1:19" x14ac:dyDescent="0.25">
      <c r="A12">
        <v>48589</v>
      </c>
      <c r="B12" s="118">
        <v>41229</v>
      </c>
      <c r="C12">
        <v>17646</v>
      </c>
      <c r="D12" s="92">
        <v>7</v>
      </c>
    </row>
    <row r="13" spans="1:19" x14ac:dyDescent="0.25">
      <c r="A13">
        <v>48590</v>
      </c>
      <c r="B13" s="118">
        <v>41229</v>
      </c>
      <c r="C13">
        <v>28757</v>
      </c>
      <c r="D13" s="92">
        <v>7</v>
      </c>
      <c r="H13" t="s">
        <v>475</v>
      </c>
      <c r="I13" t="s">
        <v>476</v>
      </c>
      <c r="P13" t="s">
        <v>253</v>
      </c>
      <c r="Q13" s="103" t="s">
        <v>254</v>
      </c>
      <c r="R13" t="s">
        <v>255</v>
      </c>
      <c r="S13" s="93" t="s">
        <v>256</v>
      </c>
    </row>
    <row r="14" spans="1:19" x14ac:dyDescent="0.25">
      <c r="A14">
        <v>48591</v>
      </c>
      <c r="B14" s="118">
        <v>41229</v>
      </c>
      <c r="C14">
        <v>28739</v>
      </c>
      <c r="D14" s="92">
        <v>7</v>
      </c>
      <c r="P14">
        <v>45149</v>
      </c>
      <c r="Q14" s="93">
        <v>40891</v>
      </c>
      <c r="R14">
        <v>14941</v>
      </c>
      <c r="S14" s="7">
        <v>10</v>
      </c>
    </row>
    <row r="15" spans="1:19" x14ac:dyDescent="0.25">
      <c r="A15">
        <v>48592</v>
      </c>
      <c r="B15" s="118">
        <v>41229</v>
      </c>
      <c r="C15">
        <v>12266</v>
      </c>
      <c r="D15" s="92">
        <v>8</v>
      </c>
      <c r="P15">
        <v>45158</v>
      </c>
      <c r="Q15" s="93">
        <v>40892</v>
      </c>
      <c r="R15">
        <v>28419</v>
      </c>
      <c r="S15" s="7">
        <v>7</v>
      </c>
    </row>
    <row r="16" spans="1:19" x14ac:dyDescent="0.25">
      <c r="A16">
        <v>48593</v>
      </c>
      <c r="B16" s="118">
        <v>41229</v>
      </c>
      <c r="C16">
        <v>12394</v>
      </c>
      <c r="D16" s="92">
        <v>10</v>
      </c>
      <c r="P16">
        <v>45159</v>
      </c>
      <c r="Q16" s="93">
        <v>40892</v>
      </c>
      <c r="R16">
        <v>11400</v>
      </c>
      <c r="S16" s="7">
        <v>10</v>
      </c>
    </row>
    <row r="17" spans="1:19" x14ac:dyDescent="0.25">
      <c r="A17">
        <v>48599</v>
      </c>
      <c r="B17" s="118">
        <v>41230</v>
      </c>
      <c r="C17">
        <v>15002</v>
      </c>
      <c r="D17" s="92">
        <v>7</v>
      </c>
      <c r="P17">
        <v>45160</v>
      </c>
      <c r="Q17" s="93">
        <v>40892</v>
      </c>
      <c r="R17">
        <v>14984</v>
      </c>
      <c r="S17" s="7">
        <v>10</v>
      </c>
    </row>
    <row r="18" spans="1:19" x14ac:dyDescent="0.25">
      <c r="A18">
        <v>48600</v>
      </c>
      <c r="B18" s="118">
        <v>41230</v>
      </c>
      <c r="C18">
        <v>18185</v>
      </c>
      <c r="D18" s="92">
        <v>8</v>
      </c>
      <c r="P18">
        <v>45165</v>
      </c>
      <c r="Q18" s="93">
        <v>40893</v>
      </c>
      <c r="R18">
        <v>22881</v>
      </c>
      <c r="S18" s="7">
        <v>6</v>
      </c>
    </row>
    <row r="19" spans="1:19" x14ac:dyDescent="0.25">
      <c r="A19">
        <v>48601</v>
      </c>
      <c r="B19" s="118">
        <v>41230</v>
      </c>
      <c r="C19">
        <v>28728</v>
      </c>
      <c r="D19" s="92">
        <v>7</v>
      </c>
      <c r="P19">
        <v>45172</v>
      </c>
      <c r="Q19" s="93">
        <v>40894</v>
      </c>
      <c r="R19">
        <v>18008</v>
      </c>
      <c r="S19" s="7">
        <v>7</v>
      </c>
    </row>
    <row r="20" spans="1:19" x14ac:dyDescent="0.25">
      <c r="A20">
        <v>48602</v>
      </c>
      <c r="B20" s="118">
        <v>41230</v>
      </c>
      <c r="C20">
        <v>12237</v>
      </c>
      <c r="D20" s="92">
        <v>8</v>
      </c>
      <c r="P20">
        <v>45180</v>
      </c>
      <c r="Q20" s="93">
        <v>40895</v>
      </c>
      <c r="R20">
        <v>15046</v>
      </c>
      <c r="S20" s="7">
        <v>10</v>
      </c>
    </row>
    <row r="21" spans="1:19" x14ac:dyDescent="0.25">
      <c r="A21">
        <v>48603</v>
      </c>
      <c r="B21" s="118">
        <v>41230</v>
      </c>
      <c r="C21">
        <v>28751</v>
      </c>
      <c r="D21" s="92">
        <v>7</v>
      </c>
      <c r="P21">
        <v>45181</v>
      </c>
      <c r="Q21" s="93">
        <v>40895</v>
      </c>
      <c r="R21">
        <v>14929</v>
      </c>
      <c r="S21" s="7">
        <v>10</v>
      </c>
    </row>
    <row r="22" spans="1:19" x14ac:dyDescent="0.25">
      <c r="A22">
        <v>48613</v>
      </c>
      <c r="B22" s="118">
        <v>41231</v>
      </c>
      <c r="C22">
        <v>14965</v>
      </c>
      <c r="D22" s="92">
        <v>7</v>
      </c>
      <c r="P22">
        <v>45185</v>
      </c>
      <c r="Q22" s="93">
        <v>40895</v>
      </c>
      <c r="R22">
        <v>14949</v>
      </c>
      <c r="S22" s="7">
        <v>10</v>
      </c>
    </row>
    <row r="23" spans="1:19" x14ac:dyDescent="0.25">
      <c r="A23">
        <v>48614</v>
      </c>
      <c r="B23" s="118">
        <v>41231</v>
      </c>
      <c r="C23">
        <v>14976</v>
      </c>
      <c r="D23" s="92">
        <v>7</v>
      </c>
      <c r="P23">
        <v>45186</v>
      </c>
      <c r="Q23" s="93">
        <v>40896</v>
      </c>
      <c r="R23">
        <v>14991</v>
      </c>
      <c r="S23" s="7">
        <v>10</v>
      </c>
    </row>
    <row r="24" spans="1:19" x14ac:dyDescent="0.25">
      <c r="A24">
        <v>48615</v>
      </c>
      <c r="B24" s="118">
        <v>41231</v>
      </c>
      <c r="C24">
        <v>19360</v>
      </c>
      <c r="D24" s="92">
        <v>10</v>
      </c>
      <c r="P24">
        <v>45187</v>
      </c>
      <c r="Q24" s="93">
        <v>40896</v>
      </c>
      <c r="R24">
        <v>15047</v>
      </c>
      <c r="S24" s="7">
        <v>10</v>
      </c>
    </row>
    <row r="25" spans="1:19" x14ac:dyDescent="0.25">
      <c r="A25">
        <v>48618</v>
      </c>
      <c r="B25" s="118">
        <v>41231</v>
      </c>
      <c r="C25">
        <v>27259</v>
      </c>
      <c r="D25" s="92">
        <v>6</v>
      </c>
      <c r="P25">
        <v>45188</v>
      </c>
      <c r="Q25" s="93">
        <v>40896</v>
      </c>
      <c r="R25">
        <v>14861</v>
      </c>
      <c r="S25" s="7">
        <v>10</v>
      </c>
    </row>
    <row r="26" spans="1:19" x14ac:dyDescent="0.25">
      <c r="A26">
        <v>48620</v>
      </c>
      <c r="B26" s="118">
        <v>41231</v>
      </c>
      <c r="C26">
        <v>20665</v>
      </c>
      <c r="D26" s="92">
        <v>6</v>
      </c>
      <c r="P26">
        <v>45192</v>
      </c>
      <c r="Q26" s="93">
        <v>40897</v>
      </c>
      <c r="R26">
        <v>14846</v>
      </c>
      <c r="S26" s="7">
        <v>10</v>
      </c>
    </row>
    <row r="27" spans="1:19" x14ac:dyDescent="0.25">
      <c r="A27">
        <v>48627</v>
      </c>
      <c r="B27" s="118">
        <v>41232</v>
      </c>
      <c r="C27">
        <v>28758</v>
      </c>
      <c r="D27" s="92">
        <v>7</v>
      </c>
      <c r="P27">
        <v>45193</v>
      </c>
      <c r="Q27" s="93">
        <v>40897</v>
      </c>
      <c r="R27">
        <v>22889</v>
      </c>
      <c r="S27" s="7">
        <v>6</v>
      </c>
    </row>
    <row r="28" spans="1:19" x14ac:dyDescent="0.25">
      <c r="A28">
        <v>48628</v>
      </c>
      <c r="B28" s="118">
        <v>41232</v>
      </c>
      <c r="C28">
        <v>12381</v>
      </c>
      <c r="D28" s="92">
        <v>10</v>
      </c>
      <c r="P28">
        <v>45198</v>
      </c>
      <c r="Q28" s="93">
        <v>40898</v>
      </c>
      <c r="R28">
        <v>14847</v>
      </c>
      <c r="S28" s="7">
        <v>10</v>
      </c>
    </row>
    <row r="29" spans="1:19" x14ac:dyDescent="0.25">
      <c r="A29">
        <v>48631</v>
      </c>
      <c r="B29" s="118">
        <v>41233</v>
      </c>
      <c r="C29">
        <v>17185</v>
      </c>
      <c r="D29" s="92">
        <v>10</v>
      </c>
      <c r="P29">
        <v>45199</v>
      </c>
      <c r="Q29" s="93">
        <v>40898</v>
      </c>
      <c r="R29">
        <v>29476</v>
      </c>
      <c r="S29" s="7">
        <v>8</v>
      </c>
    </row>
    <row r="30" spans="1:19" x14ac:dyDescent="0.25">
      <c r="A30">
        <v>48632</v>
      </c>
      <c r="B30" s="118">
        <v>41233</v>
      </c>
      <c r="C30">
        <v>17192</v>
      </c>
      <c r="D30" s="92">
        <v>10</v>
      </c>
      <c r="P30">
        <v>45205</v>
      </c>
      <c r="Q30" s="93">
        <v>40899</v>
      </c>
      <c r="R30">
        <v>28420</v>
      </c>
      <c r="S30" s="7">
        <v>7</v>
      </c>
    </row>
    <row r="31" spans="1:19" x14ac:dyDescent="0.25">
      <c r="A31">
        <v>48633</v>
      </c>
      <c r="B31" s="118">
        <v>41233</v>
      </c>
      <c r="C31">
        <v>20875</v>
      </c>
      <c r="D31" s="92">
        <v>10</v>
      </c>
      <c r="P31">
        <v>45206</v>
      </c>
      <c r="Q31" s="93">
        <v>40899</v>
      </c>
      <c r="R31">
        <v>12474</v>
      </c>
      <c r="S31" s="7">
        <v>7</v>
      </c>
    </row>
    <row r="32" spans="1:19" x14ac:dyDescent="0.25">
      <c r="A32">
        <v>48634</v>
      </c>
      <c r="B32" s="118">
        <v>41233</v>
      </c>
      <c r="C32">
        <v>12230</v>
      </c>
      <c r="D32" s="92">
        <v>8</v>
      </c>
      <c r="P32">
        <v>45208</v>
      </c>
      <c r="Q32" s="93">
        <v>40899</v>
      </c>
      <c r="R32">
        <v>19884</v>
      </c>
      <c r="S32" s="7">
        <v>6</v>
      </c>
    </row>
    <row r="33" spans="1:19" x14ac:dyDescent="0.25">
      <c r="A33">
        <v>48635</v>
      </c>
      <c r="B33" s="118">
        <v>41233</v>
      </c>
      <c r="C33">
        <v>28750</v>
      </c>
      <c r="D33" s="92">
        <v>7</v>
      </c>
      <c r="P33">
        <v>45214</v>
      </c>
      <c r="Q33" s="93">
        <v>40900</v>
      </c>
      <c r="R33">
        <v>12464</v>
      </c>
      <c r="S33" s="7">
        <v>7</v>
      </c>
    </row>
    <row r="34" spans="1:19" x14ac:dyDescent="0.25">
      <c r="A34">
        <v>48639</v>
      </c>
      <c r="B34" s="118">
        <v>41233</v>
      </c>
      <c r="C34">
        <v>20670</v>
      </c>
      <c r="D34" s="92">
        <v>6</v>
      </c>
      <c r="P34">
        <v>45219</v>
      </c>
      <c r="Q34" s="93">
        <v>40901</v>
      </c>
      <c r="R34">
        <v>22893</v>
      </c>
      <c r="S34" s="7">
        <v>6</v>
      </c>
    </row>
    <row r="35" spans="1:19" x14ac:dyDescent="0.25">
      <c r="A35">
        <v>48642</v>
      </c>
      <c r="B35" s="118">
        <v>41234</v>
      </c>
      <c r="C35">
        <v>15061</v>
      </c>
      <c r="D35" s="92">
        <v>7</v>
      </c>
      <c r="P35">
        <v>45221</v>
      </c>
      <c r="Q35" s="93">
        <v>40901</v>
      </c>
      <c r="R35">
        <v>22903</v>
      </c>
      <c r="S35" s="7">
        <v>6</v>
      </c>
    </row>
    <row r="36" spans="1:19" x14ac:dyDescent="0.25">
      <c r="A36">
        <v>48643</v>
      </c>
      <c r="B36" s="118">
        <v>41234</v>
      </c>
      <c r="C36">
        <v>20869</v>
      </c>
      <c r="D36" s="92">
        <v>10</v>
      </c>
      <c r="P36">
        <v>45229</v>
      </c>
      <c r="Q36" s="93">
        <v>40903</v>
      </c>
      <c r="R36">
        <v>11387</v>
      </c>
      <c r="S36" s="7">
        <v>10</v>
      </c>
    </row>
    <row r="37" spans="1:19" x14ac:dyDescent="0.25">
      <c r="A37">
        <v>48653</v>
      </c>
      <c r="B37" s="118">
        <v>41234</v>
      </c>
      <c r="C37">
        <v>20680</v>
      </c>
      <c r="D37" s="92">
        <v>6</v>
      </c>
    </row>
    <row r="38" spans="1:19" x14ac:dyDescent="0.25">
      <c r="A38">
        <v>48654</v>
      </c>
      <c r="B38" s="118">
        <v>41235</v>
      </c>
      <c r="C38">
        <v>17094</v>
      </c>
      <c r="D38" s="92">
        <v>10</v>
      </c>
    </row>
    <row r="39" spans="1:19" x14ac:dyDescent="0.25">
      <c r="A39">
        <v>48655</v>
      </c>
      <c r="B39" s="118">
        <v>41235</v>
      </c>
      <c r="C39">
        <v>18183</v>
      </c>
      <c r="D39" s="92">
        <v>8</v>
      </c>
    </row>
    <row r="40" spans="1:19" x14ac:dyDescent="0.25">
      <c r="A40">
        <v>48656</v>
      </c>
      <c r="B40" s="118">
        <v>41235</v>
      </c>
      <c r="C40">
        <v>20829</v>
      </c>
      <c r="D40" s="92">
        <v>8</v>
      </c>
    </row>
    <row r="41" spans="1:19" x14ac:dyDescent="0.25">
      <c r="A41">
        <v>48657</v>
      </c>
      <c r="B41" s="118">
        <v>41235</v>
      </c>
      <c r="C41">
        <v>15067</v>
      </c>
      <c r="D41" s="92">
        <v>7</v>
      </c>
    </row>
    <row r="42" spans="1:19" x14ac:dyDescent="0.25">
      <c r="A42">
        <v>48658</v>
      </c>
      <c r="B42" s="118">
        <v>41235</v>
      </c>
      <c r="C42">
        <v>12228</v>
      </c>
      <c r="D42" s="92">
        <v>8</v>
      </c>
    </row>
    <row r="43" spans="1:19" x14ac:dyDescent="0.25">
      <c r="A43">
        <v>48659</v>
      </c>
      <c r="B43" s="118">
        <v>41235</v>
      </c>
      <c r="C43">
        <v>28749</v>
      </c>
      <c r="D43" s="92">
        <v>7</v>
      </c>
    </row>
    <row r="44" spans="1:19" x14ac:dyDescent="0.25">
      <c r="A44">
        <v>48665</v>
      </c>
      <c r="B44" s="118">
        <v>41235</v>
      </c>
      <c r="C44">
        <v>20872</v>
      </c>
      <c r="D44" s="92">
        <v>10</v>
      </c>
    </row>
    <row r="45" spans="1:19" x14ac:dyDescent="0.25">
      <c r="A45">
        <v>48667</v>
      </c>
      <c r="B45" s="118">
        <v>41236</v>
      </c>
      <c r="C45">
        <v>19341</v>
      </c>
      <c r="D45" s="92">
        <v>10</v>
      </c>
    </row>
    <row r="46" spans="1:19" x14ac:dyDescent="0.25">
      <c r="A46">
        <v>48668</v>
      </c>
      <c r="B46" s="118">
        <v>41236</v>
      </c>
      <c r="C46">
        <v>18626</v>
      </c>
      <c r="D46" s="92">
        <v>8</v>
      </c>
    </row>
    <row r="47" spans="1:19" x14ac:dyDescent="0.25">
      <c r="A47">
        <v>48669</v>
      </c>
      <c r="B47" s="118">
        <v>41236</v>
      </c>
      <c r="C47">
        <v>19293</v>
      </c>
      <c r="D47" s="92">
        <v>7</v>
      </c>
    </row>
    <row r="48" spans="1:19" x14ac:dyDescent="0.25">
      <c r="A48">
        <v>48671</v>
      </c>
      <c r="B48" s="118">
        <v>41236</v>
      </c>
      <c r="C48">
        <v>12270</v>
      </c>
      <c r="D48" s="92">
        <v>8</v>
      </c>
    </row>
    <row r="49" spans="1:4" x14ac:dyDescent="0.25">
      <c r="A49">
        <v>48675</v>
      </c>
      <c r="B49" s="118">
        <v>41237</v>
      </c>
      <c r="C49">
        <v>15079</v>
      </c>
      <c r="D49" s="92">
        <v>7</v>
      </c>
    </row>
    <row r="50" spans="1:4" x14ac:dyDescent="0.25">
      <c r="A50">
        <v>48677</v>
      </c>
      <c r="B50" s="118">
        <v>41237</v>
      </c>
      <c r="C50">
        <v>12391</v>
      </c>
      <c r="D50" s="92">
        <v>10</v>
      </c>
    </row>
    <row r="51" spans="1:4" x14ac:dyDescent="0.25">
      <c r="A51">
        <v>48680</v>
      </c>
      <c r="B51" s="118">
        <v>41237</v>
      </c>
      <c r="C51">
        <v>27242</v>
      </c>
      <c r="D51" s="92">
        <v>6</v>
      </c>
    </row>
    <row r="52" spans="1:4" x14ac:dyDescent="0.25">
      <c r="A52">
        <v>48683</v>
      </c>
      <c r="B52" s="118">
        <v>41238</v>
      </c>
      <c r="C52">
        <v>17648</v>
      </c>
      <c r="D52" s="92">
        <v>7</v>
      </c>
    </row>
    <row r="53" spans="1:4" x14ac:dyDescent="0.25">
      <c r="A53">
        <v>48684</v>
      </c>
      <c r="B53" s="118">
        <v>41238</v>
      </c>
      <c r="C53">
        <v>16534</v>
      </c>
      <c r="D53" s="92">
        <v>8</v>
      </c>
    </row>
    <row r="54" spans="1:4" x14ac:dyDescent="0.25">
      <c r="A54">
        <v>48686</v>
      </c>
      <c r="B54" s="118">
        <v>41238</v>
      </c>
      <c r="C54">
        <v>25999</v>
      </c>
      <c r="D54" s="92">
        <v>6</v>
      </c>
    </row>
    <row r="55" spans="1:4" x14ac:dyDescent="0.25">
      <c r="A55">
        <v>48687</v>
      </c>
      <c r="B55" s="118">
        <v>41238</v>
      </c>
      <c r="C55">
        <v>12317</v>
      </c>
      <c r="D55" s="92">
        <v>10</v>
      </c>
    </row>
    <row r="56" spans="1:4" x14ac:dyDescent="0.25">
      <c r="A56">
        <v>48692</v>
      </c>
      <c r="B56" s="118">
        <v>41239</v>
      </c>
      <c r="C56">
        <v>18171</v>
      </c>
      <c r="D56" s="92">
        <v>8</v>
      </c>
    </row>
    <row r="57" spans="1:4" x14ac:dyDescent="0.25">
      <c r="A57">
        <v>48693</v>
      </c>
      <c r="B57" s="118">
        <v>41239</v>
      </c>
      <c r="C57">
        <v>25995</v>
      </c>
      <c r="D57" s="92">
        <v>6</v>
      </c>
    </row>
    <row r="58" spans="1:4" x14ac:dyDescent="0.25">
      <c r="A58">
        <v>48694</v>
      </c>
      <c r="B58" s="118">
        <v>41239</v>
      </c>
      <c r="C58">
        <v>12315</v>
      </c>
      <c r="D58" s="92">
        <v>10</v>
      </c>
    </row>
    <row r="59" spans="1:4" x14ac:dyDescent="0.25">
      <c r="D59" s="93"/>
    </row>
    <row r="60" spans="1:4" x14ac:dyDescent="0.25">
      <c r="D60" s="93"/>
    </row>
    <row r="61" spans="1:4" x14ac:dyDescent="0.25">
      <c r="D61" s="93"/>
    </row>
    <row r="62" spans="1:4" x14ac:dyDescent="0.25">
      <c r="D62" s="93"/>
    </row>
    <row r="63" spans="1:4" x14ac:dyDescent="0.25">
      <c r="D63" s="93"/>
    </row>
    <row r="64" spans="1: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sheetData>
  <sheetProtection algorithmName="SHA-512" hashValue="5Uzqnpa0hdnlVd9WchJC1Co29j/YEJCQfAum0zJ1AtoHVkjpQCLFgZkncWPfHjpC4cZhb691TBw9x4rl5tN+QA==" saltValue="p4brMbEZvOV28j3pP5cDyQ=="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A091-6F98-49AD-A4DD-2C5449726F41}">
  <sheetPr codeName="Sheet15"/>
  <dimension ref="A1:N9"/>
  <sheetViews>
    <sheetView workbookViewId="0">
      <selection activeCell="E16" sqref="E16"/>
    </sheetView>
  </sheetViews>
  <sheetFormatPr defaultRowHeight="15" x14ac:dyDescent="0.25"/>
  <cols>
    <col min="1" max="1" width="38.85546875" customWidth="1"/>
    <col min="4" max="4" width="11.42578125" customWidth="1"/>
  </cols>
  <sheetData>
    <row r="1" spans="1:14" x14ac:dyDescent="0.25">
      <c r="A1" s="87" t="s">
        <v>167</v>
      </c>
      <c r="D1" t="s">
        <v>177</v>
      </c>
      <c r="G1" s="94" t="s">
        <v>479</v>
      </c>
    </row>
    <row r="2" spans="1:14" ht="130.9" customHeight="1" x14ac:dyDescent="0.25">
      <c r="A2" s="133" t="s">
        <v>480</v>
      </c>
      <c r="B2" s="134"/>
      <c r="C2" s="134"/>
      <c r="D2" s="134"/>
    </row>
    <row r="3" spans="1:14" ht="15.75" x14ac:dyDescent="0.25">
      <c r="A3" s="89" t="s">
        <v>182</v>
      </c>
      <c r="F3" t="s">
        <v>209</v>
      </c>
    </row>
    <row r="4" spans="1:14" x14ac:dyDescent="0.25">
      <c r="N4" s="120" t="s">
        <v>591</v>
      </c>
    </row>
    <row r="5" spans="1:14" x14ac:dyDescent="0.25">
      <c r="A5" s="86" t="s">
        <v>261</v>
      </c>
      <c r="B5" s="86" t="s">
        <v>183</v>
      </c>
      <c r="C5" s="86" t="s">
        <v>482</v>
      </c>
      <c r="D5" t="s">
        <v>262</v>
      </c>
      <c r="N5" s="120" t="s">
        <v>592</v>
      </c>
    </row>
    <row r="6" spans="1:14" x14ac:dyDescent="0.25">
      <c r="A6" s="86" t="s">
        <v>263</v>
      </c>
      <c r="B6" s="86" t="s">
        <v>264</v>
      </c>
      <c r="C6" s="86">
        <v>1</v>
      </c>
      <c r="D6" t="s">
        <v>265</v>
      </c>
      <c r="N6" s="120" t="s">
        <v>593</v>
      </c>
    </row>
    <row r="7" spans="1:14" x14ac:dyDescent="0.25">
      <c r="A7" t="s">
        <v>266</v>
      </c>
      <c r="B7" t="s">
        <v>267</v>
      </c>
      <c r="C7">
        <v>1</v>
      </c>
      <c r="D7" t="s">
        <v>268</v>
      </c>
      <c r="N7" s="120" t="s">
        <v>594</v>
      </c>
    </row>
    <row r="8" spans="1:14" x14ac:dyDescent="0.25">
      <c r="A8" t="s">
        <v>269</v>
      </c>
      <c r="B8" t="s">
        <v>270</v>
      </c>
      <c r="C8">
        <v>1</v>
      </c>
      <c r="D8" t="s">
        <v>271</v>
      </c>
      <c r="N8" s="120" t="s">
        <v>595</v>
      </c>
    </row>
    <row r="9" spans="1:14" x14ac:dyDescent="0.25">
      <c r="A9" t="s">
        <v>272</v>
      </c>
      <c r="B9" t="s">
        <v>273</v>
      </c>
      <c r="C9">
        <v>2</v>
      </c>
      <c r="D9" t="s">
        <v>274</v>
      </c>
    </row>
  </sheetData>
  <sheetProtection algorithmName="SHA-512" hashValue="5yjrUlShtpaL9SvsqRkaum08l1DJjR88ryQSawko9ySUVccBPzmnGdNE98EPoavQMpFsCgOItZlMymgxTtS/KQ==" saltValue="C2hoCzY8/BKchSwHLojX4g==" spinCount="100000" sheet="1" objects="1" scenarios="1"/>
  <mergeCells count="1">
    <mergeCell ref="A2:D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67C1-D2B3-4BED-AFCC-585C17D43B76}">
  <sheetPr codeName="Sheet16"/>
  <dimension ref="A2:F11"/>
  <sheetViews>
    <sheetView workbookViewId="0">
      <selection activeCell="E3" sqref="E3"/>
    </sheetView>
  </sheetViews>
  <sheetFormatPr defaultRowHeight="15" x14ac:dyDescent="0.25"/>
  <cols>
    <col min="1" max="1" width="15.140625" customWidth="1"/>
    <col min="2" max="2" width="10" customWidth="1"/>
    <col min="5" max="5" width="30.28515625" customWidth="1"/>
  </cols>
  <sheetData>
    <row r="2" spans="1:6" x14ac:dyDescent="0.25">
      <c r="A2" cm="1">
        <f t="array" ref="A2">gradeGenericQuestionRange("Text",A5:D9,10,Question5!A5:D9)</f>
        <v>10</v>
      </c>
      <c r="E2" s="90"/>
      <c r="F2" s="90" t="s">
        <v>275</v>
      </c>
    </row>
    <row r="3" spans="1:6" x14ac:dyDescent="0.25">
      <c r="E3" s="90"/>
      <c r="F3" s="90" t="s">
        <v>276</v>
      </c>
    </row>
    <row r="4" spans="1:6" x14ac:dyDescent="0.25">
      <c r="E4" s="90"/>
      <c r="F4" s="90" t="s">
        <v>277</v>
      </c>
    </row>
    <row r="5" spans="1:6" x14ac:dyDescent="0.25">
      <c r="A5" t="s">
        <v>261</v>
      </c>
      <c r="B5" t="s">
        <v>183</v>
      </c>
      <c r="C5" t="s">
        <v>482</v>
      </c>
      <c r="D5" t="s">
        <v>262</v>
      </c>
      <c r="F5" s="90" t="s">
        <v>278</v>
      </c>
    </row>
    <row r="6" spans="1:6" x14ac:dyDescent="0.25">
      <c r="A6" t="s">
        <v>263</v>
      </c>
      <c r="B6" t="s">
        <v>264</v>
      </c>
      <c r="C6">
        <v>1</v>
      </c>
      <c r="D6" t="s">
        <v>265</v>
      </c>
      <c r="F6" s="90" t="s">
        <v>279</v>
      </c>
    </row>
    <row r="7" spans="1:6" x14ac:dyDescent="0.25">
      <c r="A7" t="s">
        <v>266</v>
      </c>
      <c r="B7" t="s">
        <v>267</v>
      </c>
      <c r="C7">
        <v>1</v>
      </c>
      <c r="D7" t="s">
        <v>268</v>
      </c>
      <c r="F7" s="94"/>
    </row>
    <row r="8" spans="1:6" x14ac:dyDescent="0.25">
      <c r="A8" t="s">
        <v>269</v>
      </c>
      <c r="B8" t="s">
        <v>270</v>
      </c>
      <c r="C8">
        <v>1</v>
      </c>
      <c r="D8" t="s">
        <v>271</v>
      </c>
    </row>
    <row r="9" spans="1:6" x14ac:dyDescent="0.25">
      <c r="A9" t="s">
        <v>272</v>
      </c>
      <c r="B9" t="s">
        <v>273</v>
      </c>
      <c r="C9">
        <v>2</v>
      </c>
      <c r="D9" t="s">
        <v>274</v>
      </c>
    </row>
    <row r="11" spans="1:6" x14ac:dyDescent="0.25">
      <c r="F11" t="s">
        <v>481</v>
      </c>
    </row>
  </sheetData>
  <sheetProtection algorithmName="SHA-512" hashValue="JsJgGy4NRbkLixLF3d0+y5fGxbIgNTbTyxpUNguAdP4P8BblOMCSyAnWU6HaDKM5JQEibHRwsBxyT8o9v1So0g==" saltValue="5b3k4kj2JM/1hK8sa0B6wg==" spinCount="100000" sheet="1" objects="1" scenario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23DF-D4AC-4EA5-B7AB-536EAA1C3606}">
  <sheetPr codeName="Sheet17"/>
  <dimension ref="A1:N72"/>
  <sheetViews>
    <sheetView workbookViewId="0">
      <selection activeCell="G8" sqref="G8"/>
    </sheetView>
  </sheetViews>
  <sheetFormatPr defaultRowHeight="15" x14ac:dyDescent="0.25"/>
  <cols>
    <col min="1" max="1" width="21" customWidth="1"/>
    <col min="5" max="5" width="10.42578125" bestFit="1" customWidth="1"/>
  </cols>
  <sheetData>
    <row r="1" spans="1:14" x14ac:dyDescent="0.25">
      <c r="A1" s="87" t="s">
        <v>174</v>
      </c>
      <c r="B1" s="87">
        <f>Answer6!D1</f>
        <v>10</v>
      </c>
      <c r="C1" s="87" t="s">
        <v>175</v>
      </c>
      <c r="D1" t="s">
        <v>177</v>
      </c>
      <c r="H1" s="94" t="s">
        <v>526</v>
      </c>
    </row>
    <row r="2" spans="1:14" ht="115.15" customHeight="1" x14ac:dyDescent="0.25">
      <c r="A2" s="133" t="s">
        <v>530</v>
      </c>
      <c r="B2" s="135"/>
      <c r="C2" s="135"/>
      <c r="D2" s="135"/>
      <c r="E2" s="116"/>
      <c r="F2" s="116"/>
    </row>
    <row r="3" spans="1:14" ht="15.75" x14ac:dyDescent="0.25">
      <c r="A3" s="89" t="s">
        <v>173</v>
      </c>
      <c r="N3" s="120" t="s">
        <v>599</v>
      </c>
    </row>
    <row r="4" spans="1:14" x14ac:dyDescent="0.25">
      <c r="N4" s="120" t="s">
        <v>600</v>
      </c>
    </row>
    <row r="5" spans="1:14" x14ac:dyDescent="0.25">
      <c r="A5" s="86" t="s">
        <v>285</v>
      </c>
      <c r="B5" s="86" t="s">
        <v>170</v>
      </c>
      <c r="C5" s="86" t="s">
        <v>171</v>
      </c>
      <c r="D5" t="s">
        <v>607</v>
      </c>
      <c r="E5" t="s">
        <v>608</v>
      </c>
      <c r="N5" s="120" t="s">
        <v>601</v>
      </c>
    </row>
    <row r="6" spans="1:14" x14ac:dyDescent="0.25">
      <c r="A6" s="86">
        <v>470689086</v>
      </c>
      <c r="B6" s="86" t="s">
        <v>609</v>
      </c>
      <c r="C6" s="86" t="s">
        <v>610</v>
      </c>
      <c r="D6" t="s">
        <v>280</v>
      </c>
      <c r="E6" s="93">
        <v>39857</v>
      </c>
      <c r="N6" s="120" t="s">
        <v>602</v>
      </c>
    </row>
    <row r="7" spans="1:14" x14ac:dyDescent="0.25">
      <c r="A7">
        <v>377784364</v>
      </c>
      <c r="B7" t="s">
        <v>483</v>
      </c>
      <c r="C7" t="s">
        <v>484</v>
      </c>
      <c r="D7" t="s">
        <v>280</v>
      </c>
      <c r="E7" s="93">
        <v>39852</v>
      </c>
      <c r="N7" s="120" t="s">
        <v>603</v>
      </c>
    </row>
    <row r="8" spans="1:14" x14ac:dyDescent="0.25">
      <c r="A8">
        <v>131471224</v>
      </c>
      <c r="B8" t="s">
        <v>611</v>
      </c>
      <c r="C8" t="s">
        <v>612</v>
      </c>
      <c r="D8" t="s">
        <v>280</v>
      </c>
      <c r="E8" s="93">
        <v>39846</v>
      </c>
      <c r="N8" s="120" t="s">
        <v>604</v>
      </c>
    </row>
    <row r="9" spans="1:14" x14ac:dyDescent="0.25">
      <c r="A9">
        <v>764853868</v>
      </c>
      <c r="B9" t="s">
        <v>485</v>
      </c>
      <c r="C9" t="s">
        <v>486</v>
      </c>
      <c r="D9" t="s">
        <v>280</v>
      </c>
      <c r="E9" s="93">
        <v>39844</v>
      </c>
    </row>
    <row r="10" spans="1:14" x14ac:dyDescent="0.25">
      <c r="A10">
        <v>792847334</v>
      </c>
      <c r="B10" t="s">
        <v>613</v>
      </c>
      <c r="C10" t="s">
        <v>614</v>
      </c>
      <c r="D10" t="s">
        <v>280</v>
      </c>
      <c r="E10" s="93">
        <v>39872</v>
      </c>
    </row>
    <row r="11" spans="1:14" x14ac:dyDescent="0.25">
      <c r="A11">
        <v>969985265</v>
      </c>
      <c r="B11" t="s">
        <v>487</v>
      </c>
      <c r="C11" t="s">
        <v>162</v>
      </c>
      <c r="D11" t="s">
        <v>82</v>
      </c>
      <c r="E11" s="93">
        <v>39835</v>
      </c>
    </row>
    <row r="12" spans="1:14" x14ac:dyDescent="0.25">
      <c r="A12">
        <v>363910111</v>
      </c>
      <c r="B12" t="s">
        <v>615</v>
      </c>
      <c r="C12" t="s">
        <v>616</v>
      </c>
      <c r="D12" t="s">
        <v>82</v>
      </c>
      <c r="E12" s="93">
        <v>39862</v>
      </c>
    </row>
    <row r="13" spans="1:14" x14ac:dyDescent="0.25">
      <c r="A13">
        <v>999440576</v>
      </c>
      <c r="B13" t="s">
        <v>488</v>
      </c>
      <c r="C13" t="s">
        <v>160</v>
      </c>
      <c r="D13" t="s">
        <v>280</v>
      </c>
      <c r="E13" s="93">
        <v>39852</v>
      </c>
    </row>
    <row r="14" spans="1:14" x14ac:dyDescent="0.25">
      <c r="A14">
        <v>634335025</v>
      </c>
      <c r="B14" t="s">
        <v>617</v>
      </c>
      <c r="C14" t="s">
        <v>618</v>
      </c>
      <c r="D14" t="s">
        <v>82</v>
      </c>
      <c r="E14" s="93">
        <v>39877</v>
      </c>
    </row>
    <row r="15" spans="1:14" x14ac:dyDescent="0.25">
      <c r="A15">
        <v>368691270</v>
      </c>
      <c r="B15" t="s">
        <v>619</v>
      </c>
      <c r="C15" t="s">
        <v>610</v>
      </c>
      <c r="D15" t="s">
        <v>280</v>
      </c>
      <c r="E15" s="93">
        <v>39875</v>
      </c>
    </row>
    <row r="16" spans="1:14" x14ac:dyDescent="0.25">
      <c r="A16">
        <v>410742000</v>
      </c>
      <c r="B16" t="s">
        <v>489</v>
      </c>
      <c r="C16" t="s">
        <v>160</v>
      </c>
      <c r="D16" t="s">
        <v>82</v>
      </c>
      <c r="E16" s="93">
        <v>39842</v>
      </c>
    </row>
    <row r="17" spans="1:5" x14ac:dyDescent="0.25">
      <c r="A17">
        <v>227319668</v>
      </c>
      <c r="B17" t="s">
        <v>490</v>
      </c>
      <c r="C17" t="s">
        <v>486</v>
      </c>
      <c r="D17" t="s">
        <v>82</v>
      </c>
      <c r="E17" s="93">
        <v>39856</v>
      </c>
    </row>
    <row r="18" spans="1:5" x14ac:dyDescent="0.25">
      <c r="A18">
        <v>599942664</v>
      </c>
      <c r="B18" t="s">
        <v>491</v>
      </c>
      <c r="C18" t="s">
        <v>492</v>
      </c>
      <c r="D18" t="s">
        <v>280</v>
      </c>
      <c r="E18" s="93">
        <v>39862</v>
      </c>
    </row>
    <row r="19" spans="1:5" x14ac:dyDescent="0.25">
      <c r="A19">
        <v>539490372</v>
      </c>
      <c r="B19" t="s">
        <v>493</v>
      </c>
      <c r="C19" t="s">
        <v>484</v>
      </c>
      <c r="D19" t="s">
        <v>280</v>
      </c>
      <c r="E19" s="93">
        <v>39835</v>
      </c>
    </row>
    <row r="20" spans="1:5" x14ac:dyDescent="0.25">
      <c r="A20">
        <v>260805477</v>
      </c>
      <c r="B20" t="s">
        <v>620</v>
      </c>
      <c r="C20" t="s">
        <v>621</v>
      </c>
      <c r="D20" t="s">
        <v>280</v>
      </c>
      <c r="E20" s="93">
        <v>39878</v>
      </c>
    </row>
    <row r="21" spans="1:5" x14ac:dyDescent="0.25">
      <c r="A21">
        <v>671089628</v>
      </c>
      <c r="B21" t="s">
        <v>622</v>
      </c>
      <c r="C21" t="s">
        <v>623</v>
      </c>
      <c r="D21" t="s">
        <v>280</v>
      </c>
      <c r="E21" s="93">
        <v>39824</v>
      </c>
    </row>
    <row r="22" spans="1:5" x14ac:dyDescent="0.25">
      <c r="A22">
        <v>929666391</v>
      </c>
      <c r="B22" t="s">
        <v>624</v>
      </c>
      <c r="C22" t="s">
        <v>625</v>
      </c>
      <c r="D22" t="s">
        <v>280</v>
      </c>
      <c r="E22" s="93">
        <v>39835</v>
      </c>
    </row>
    <row r="23" spans="1:5" x14ac:dyDescent="0.25">
      <c r="A23">
        <v>30845</v>
      </c>
      <c r="B23" t="s">
        <v>626</v>
      </c>
      <c r="C23" t="s">
        <v>627</v>
      </c>
      <c r="D23" t="s">
        <v>280</v>
      </c>
      <c r="E23" s="93">
        <v>39843</v>
      </c>
    </row>
    <row r="24" spans="1:5" x14ac:dyDescent="0.25">
      <c r="A24">
        <v>860123571</v>
      </c>
      <c r="B24" t="s">
        <v>494</v>
      </c>
      <c r="C24" t="s">
        <v>486</v>
      </c>
      <c r="D24" t="s">
        <v>280</v>
      </c>
      <c r="E24" s="93">
        <v>39858</v>
      </c>
    </row>
    <row r="25" spans="1:5" x14ac:dyDescent="0.25">
      <c r="A25">
        <v>652535724</v>
      </c>
      <c r="B25" t="s">
        <v>495</v>
      </c>
      <c r="C25" t="s">
        <v>492</v>
      </c>
      <c r="D25" t="s">
        <v>82</v>
      </c>
      <c r="E25" s="93">
        <v>39849</v>
      </c>
    </row>
    <row r="26" spans="1:5" x14ac:dyDescent="0.25">
      <c r="A26">
        <v>222400012</v>
      </c>
      <c r="B26" t="s">
        <v>496</v>
      </c>
      <c r="C26" t="s">
        <v>492</v>
      </c>
      <c r="D26" t="s">
        <v>280</v>
      </c>
      <c r="E26" s="93">
        <v>39857</v>
      </c>
    </row>
    <row r="27" spans="1:5" x14ac:dyDescent="0.25">
      <c r="A27">
        <v>663843431</v>
      </c>
      <c r="B27" t="s">
        <v>628</v>
      </c>
      <c r="C27" t="s">
        <v>629</v>
      </c>
      <c r="D27" t="s">
        <v>280</v>
      </c>
      <c r="E27" s="93">
        <v>39855</v>
      </c>
    </row>
    <row r="28" spans="1:5" x14ac:dyDescent="0.25">
      <c r="A28">
        <v>134969118</v>
      </c>
      <c r="B28" t="s">
        <v>630</v>
      </c>
      <c r="C28" t="s">
        <v>631</v>
      </c>
      <c r="D28" t="s">
        <v>280</v>
      </c>
      <c r="E28" s="93">
        <v>39852</v>
      </c>
    </row>
    <row r="29" spans="1:5" x14ac:dyDescent="0.25">
      <c r="A29">
        <v>912141525</v>
      </c>
      <c r="B29" t="s">
        <v>497</v>
      </c>
      <c r="C29" t="s">
        <v>492</v>
      </c>
      <c r="D29" t="s">
        <v>82</v>
      </c>
      <c r="E29" s="93">
        <v>39874</v>
      </c>
    </row>
    <row r="30" spans="1:5" x14ac:dyDescent="0.25">
      <c r="A30">
        <v>45615666</v>
      </c>
      <c r="B30" t="s">
        <v>632</v>
      </c>
      <c r="C30" t="s">
        <v>633</v>
      </c>
      <c r="D30" t="s">
        <v>280</v>
      </c>
      <c r="E30" s="93">
        <v>39827</v>
      </c>
    </row>
    <row r="31" spans="1:5" x14ac:dyDescent="0.25">
      <c r="A31">
        <v>749211824</v>
      </c>
      <c r="B31" t="s">
        <v>498</v>
      </c>
      <c r="C31" t="s">
        <v>161</v>
      </c>
      <c r="D31" t="s">
        <v>280</v>
      </c>
      <c r="E31" s="93">
        <v>39830</v>
      </c>
    </row>
    <row r="32" spans="1:5" x14ac:dyDescent="0.25">
      <c r="A32">
        <v>440379437</v>
      </c>
      <c r="B32" t="s">
        <v>499</v>
      </c>
      <c r="C32" t="s">
        <v>161</v>
      </c>
      <c r="D32" t="s">
        <v>280</v>
      </c>
      <c r="E32" s="93">
        <v>39880</v>
      </c>
    </row>
    <row r="33" spans="1:5" x14ac:dyDescent="0.25">
      <c r="A33">
        <v>658797903</v>
      </c>
      <c r="B33" t="s">
        <v>634</v>
      </c>
      <c r="C33" t="s">
        <v>635</v>
      </c>
      <c r="D33" t="s">
        <v>82</v>
      </c>
      <c r="E33" s="93">
        <v>39829</v>
      </c>
    </row>
    <row r="34" spans="1:5" x14ac:dyDescent="0.25">
      <c r="A34">
        <v>153288994</v>
      </c>
      <c r="B34" t="s">
        <v>500</v>
      </c>
      <c r="C34" t="s">
        <v>492</v>
      </c>
      <c r="D34" t="s">
        <v>280</v>
      </c>
      <c r="E34" s="93">
        <v>39838</v>
      </c>
    </row>
    <row r="35" spans="1:5" x14ac:dyDescent="0.25">
      <c r="A35">
        <v>519756660</v>
      </c>
      <c r="B35" t="s">
        <v>636</v>
      </c>
      <c r="C35" t="s">
        <v>629</v>
      </c>
      <c r="D35" t="s">
        <v>82</v>
      </c>
      <c r="E35" s="93">
        <v>39873</v>
      </c>
    </row>
    <row r="36" spans="1:5" x14ac:dyDescent="0.25">
      <c r="A36">
        <v>712885347</v>
      </c>
      <c r="B36" t="s">
        <v>637</v>
      </c>
      <c r="C36" t="s">
        <v>638</v>
      </c>
      <c r="D36" t="s">
        <v>280</v>
      </c>
      <c r="E36" s="93">
        <v>39834</v>
      </c>
    </row>
    <row r="37" spans="1:5" x14ac:dyDescent="0.25">
      <c r="A37">
        <v>72636981</v>
      </c>
      <c r="B37" t="s">
        <v>639</v>
      </c>
      <c r="C37" t="s">
        <v>640</v>
      </c>
      <c r="D37" t="s">
        <v>82</v>
      </c>
      <c r="E37" s="93">
        <v>39831</v>
      </c>
    </row>
    <row r="38" spans="1:5" x14ac:dyDescent="0.25">
      <c r="A38">
        <v>652779496</v>
      </c>
      <c r="B38" t="s">
        <v>641</v>
      </c>
      <c r="C38" t="s">
        <v>642</v>
      </c>
      <c r="D38" t="s">
        <v>280</v>
      </c>
      <c r="E38" s="93">
        <v>39870</v>
      </c>
    </row>
    <row r="39" spans="1:5" x14ac:dyDescent="0.25">
      <c r="A39">
        <v>305522471</v>
      </c>
      <c r="B39" t="s">
        <v>501</v>
      </c>
      <c r="C39" t="s">
        <v>162</v>
      </c>
      <c r="D39" t="s">
        <v>280</v>
      </c>
      <c r="E39" s="93">
        <v>39853</v>
      </c>
    </row>
    <row r="40" spans="1:5" x14ac:dyDescent="0.25">
      <c r="A40">
        <v>788456780</v>
      </c>
      <c r="B40" t="s">
        <v>502</v>
      </c>
      <c r="C40" t="s">
        <v>160</v>
      </c>
      <c r="D40" t="s">
        <v>280</v>
      </c>
      <c r="E40" s="93">
        <v>39854</v>
      </c>
    </row>
    <row r="41" spans="1:5" x14ac:dyDescent="0.25">
      <c r="A41">
        <v>260770918</v>
      </c>
      <c r="B41" t="s">
        <v>643</v>
      </c>
      <c r="C41" t="s">
        <v>644</v>
      </c>
      <c r="D41" t="s">
        <v>82</v>
      </c>
      <c r="E41" s="93">
        <v>39853</v>
      </c>
    </row>
    <row r="42" spans="1:5" x14ac:dyDescent="0.25">
      <c r="A42">
        <v>167554340</v>
      </c>
      <c r="B42" t="s">
        <v>503</v>
      </c>
      <c r="C42" t="s">
        <v>484</v>
      </c>
      <c r="D42" t="s">
        <v>82</v>
      </c>
      <c r="E42" s="93">
        <v>39840</v>
      </c>
    </row>
    <row r="43" spans="1:5" x14ac:dyDescent="0.25">
      <c r="A43">
        <v>693168613</v>
      </c>
      <c r="B43" t="s">
        <v>504</v>
      </c>
      <c r="C43" t="s">
        <v>161</v>
      </c>
      <c r="D43" t="s">
        <v>280</v>
      </c>
      <c r="E43" s="93">
        <v>39868</v>
      </c>
    </row>
    <row r="44" spans="1:5" x14ac:dyDescent="0.25">
      <c r="A44">
        <v>322160340</v>
      </c>
      <c r="B44" t="s">
        <v>505</v>
      </c>
      <c r="C44" t="s">
        <v>162</v>
      </c>
      <c r="D44" t="s">
        <v>280</v>
      </c>
      <c r="E44" s="93">
        <v>39824</v>
      </c>
    </row>
    <row r="45" spans="1:5" x14ac:dyDescent="0.25">
      <c r="A45">
        <v>184188301</v>
      </c>
      <c r="B45" t="s">
        <v>645</v>
      </c>
      <c r="C45" t="s">
        <v>646</v>
      </c>
      <c r="D45" t="s">
        <v>82</v>
      </c>
      <c r="E45" s="93">
        <v>39844</v>
      </c>
    </row>
    <row r="46" spans="1:5" x14ac:dyDescent="0.25">
      <c r="A46">
        <v>204035155</v>
      </c>
      <c r="B46" t="s">
        <v>506</v>
      </c>
      <c r="C46" t="s">
        <v>492</v>
      </c>
      <c r="D46" t="s">
        <v>280</v>
      </c>
      <c r="E46" s="93">
        <v>39825</v>
      </c>
    </row>
    <row r="47" spans="1:5" x14ac:dyDescent="0.25">
      <c r="A47">
        <v>19312190</v>
      </c>
      <c r="B47" t="s">
        <v>507</v>
      </c>
      <c r="C47" t="s">
        <v>161</v>
      </c>
      <c r="D47" t="s">
        <v>82</v>
      </c>
      <c r="E47" s="93">
        <v>39817</v>
      </c>
    </row>
    <row r="48" spans="1:5" x14ac:dyDescent="0.25">
      <c r="A48">
        <v>364818297</v>
      </c>
      <c r="B48" t="s">
        <v>508</v>
      </c>
      <c r="C48" t="s">
        <v>486</v>
      </c>
      <c r="D48" t="s">
        <v>280</v>
      </c>
      <c r="E48" s="93">
        <v>39829</v>
      </c>
    </row>
    <row r="49" spans="1:5" x14ac:dyDescent="0.25">
      <c r="A49">
        <v>750246141</v>
      </c>
      <c r="B49" t="s">
        <v>509</v>
      </c>
      <c r="C49" t="s">
        <v>160</v>
      </c>
      <c r="D49" t="s">
        <v>82</v>
      </c>
      <c r="E49" s="93">
        <v>39817</v>
      </c>
    </row>
    <row r="50" spans="1:5" x14ac:dyDescent="0.25">
      <c r="A50">
        <v>767955365</v>
      </c>
      <c r="B50" t="s">
        <v>647</v>
      </c>
      <c r="C50" t="s">
        <v>640</v>
      </c>
      <c r="D50" t="s">
        <v>82</v>
      </c>
      <c r="E50" s="93">
        <v>39825</v>
      </c>
    </row>
    <row r="51" spans="1:5" x14ac:dyDescent="0.25">
      <c r="A51">
        <v>584205124</v>
      </c>
      <c r="B51" t="s">
        <v>648</v>
      </c>
      <c r="C51" t="s">
        <v>649</v>
      </c>
      <c r="D51" t="s">
        <v>280</v>
      </c>
      <c r="E51" s="93">
        <v>39833</v>
      </c>
    </row>
    <row r="52" spans="1:5" x14ac:dyDescent="0.25">
      <c r="A52">
        <v>301435199</v>
      </c>
      <c r="B52" t="s">
        <v>510</v>
      </c>
      <c r="C52" t="s">
        <v>486</v>
      </c>
      <c r="D52" t="s">
        <v>82</v>
      </c>
      <c r="E52" s="93">
        <v>39875</v>
      </c>
    </row>
    <row r="53" spans="1:5" x14ac:dyDescent="0.25">
      <c r="A53">
        <v>878395493</v>
      </c>
      <c r="B53" t="s">
        <v>511</v>
      </c>
      <c r="C53" t="s">
        <v>486</v>
      </c>
      <c r="D53" t="s">
        <v>280</v>
      </c>
      <c r="E53" s="93">
        <v>39870</v>
      </c>
    </row>
    <row r="54" spans="1:5" x14ac:dyDescent="0.25">
      <c r="A54">
        <v>342607223</v>
      </c>
      <c r="B54" t="s">
        <v>512</v>
      </c>
      <c r="C54" t="s">
        <v>492</v>
      </c>
      <c r="D54" t="s">
        <v>280</v>
      </c>
      <c r="E54" s="93">
        <v>39826</v>
      </c>
    </row>
    <row r="55" spans="1:5" x14ac:dyDescent="0.25">
      <c r="A55">
        <v>693325305</v>
      </c>
      <c r="B55" t="s">
        <v>513</v>
      </c>
      <c r="C55" t="s">
        <v>160</v>
      </c>
      <c r="D55" t="s">
        <v>82</v>
      </c>
      <c r="E55" s="93">
        <v>39815</v>
      </c>
    </row>
    <row r="56" spans="1:5" x14ac:dyDescent="0.25">
      <c r="A56">
        <v>1300049</v>
      </c>
      <c r="B56" t="s">
        <v>514</v>
      </c>
      <c r="C56" t="s">
        <v>161</v>
      </c>
      <c r="D56" t="s">
        <v>82</v>
      </c>
      <c r="E56" s="93">
        <v>39866</v>
      </c>
    </row>
    <row r="57" spans="1:5" x14ac:dyDescent="0.25">
      <c r="A57">
        <v>886023130</v>
      </c>
      <c r="B57" t="s">
        <v>515</v>
      </c>
      <c r="C57" t="s">
        <v>162</v>
      </c>
      <c r="D57" t="s">
        <v>280</v>
      </c>
      <c r="E57" s="93">
        <v>39830</v>
      </c>
    </row>
    <row r="58" spans="1:5" x14ac:dyDescent="0.25">
      <c r="A58">
        <v>992874797</v>
      </c>
      <c r="B58" t="s">
        <v>516</v>
      </c>
      <c r="C58" t="s">
        <v>161</v>
      </c>
      <c r="D58" t="s">
        <v>82</v>
      </c>
      <c r="E58" s="93">
        <v>39825</v>
      </c>
    </row>
    <row r="59" spans="1:5" x14ac:dyDescent="0.25">
      <c r="A59">
        <v>259388196</v>
      </c>
      <c r="B59" t="s">
        <v>517</v>
      </c>
      <c r="C59" t="s">
        <v>486</v>
      </c>
      <c r="D59" t="s">
        <v>280</v>
      </c>
      <c r="E59" s="93">
        <v>39846</v>
      </c>
    </row>
    <row r="60" spans="1:5" x14ac:dyDescent="0.25">
      <c r="A60">
        <v>993310268</v>
      </c>
      <c r="B60" t="s">
        <v>518</v>
      </c>
      <c r="C60" t="s">
        <v>486</v>
      </c>
      <c r="D60" t="s">
        <v>280</v>
      </c>
      <c r="E60" s="93">
        <v>39863</v>
      </c>
    </row>
    <row r="61" spans="1:5" x14ac:dyDescent="0.25">
      <c r="A61">
        <v>551346974</v>
      </c>
      <c r="B61" t="s">
        <v>519</v>
      </c>
      <c r="C61" t="s">
        <v>486</v>
      </c>
      <c r="D61" t="s">
        <v>280</v>
      </c>
      <c r="E61" s="93">
        <v>39865</v>
      </c>
    </row>
    <row r="62" spans="1:5" x14ac:dyDescent="0.25">
      <c r="A62">
        <v>769680433</v>
      </c>
      <c r="B62" t="s">
        <v>520</v>
      </c>
      <c r="C62" t="s">
        <v>161</v>
      </c>
      <c r="D62" t="s">
        <v>280</v>
      </c>
      <c r="E62" s="93">
        <v>39818</v>
      </c>
    </row>
    <row r="63" spans="1:5" x14ac:dyDescent="0.25">
      <c r="A63">
        <v>981495526</v>
      </c>
      <c r="B63" t="s">
        <v>650</v>
      </c>
      <c r="C63" t="s">
        <v>610</v>
      </c>
      <c r="D63" t="s">
        <v>280</v>
      </c>
      <c r="E63" s="93">
        <v>39839</v>
      </c>
    </row>
    <row r="64" spans="1:5" x14ac:dyDescent="0.25">
      <c r="A64">
        <v>25011600</v>
      </c>
      <c r="B64" t="s">
        <v>521</v>
      </c>
      <c r="C64" t="s">
        <v>162</v>
      </c>
      <c r="D64" t="s">
        <v>82</v>
      </c>
      <c r="E64" s="93">
        <v>39848</v>
      </c>
    </row>
    <row r="65" spans="1:5" x14ac:dyDescent="0.25">
      <c r="A65">
        <v>152085091</v>
      </c>
      <c r="B65" t="s">
        <v>522</v>
      </c>
      <c r="C65" t="s">
        <v>492</v>
      </c>
      <c r="D65" t="s">
        <v>280</v>
      </c>
      <c r="E65" s="93">
        <v>39855</v>
      </c>
    </row>
    <row r="66" spans="1:5" x14ac:dyDescent="0.25">
      <c r="A66">
        <v>199546871</v>
      </c>
      <c r="B66" t="s">
        <v>523</v>
      </c>
      <c r="C66" t="s">
        <v>484</v>
      </c>
      <c r="D66" t="s">
        <v>280</v>
      </c>
      <c r="E66" s="93">
        <v>39821</v>
      </c>
    </row>
    <row r="67" spans="1:5" x14ac:dyDescent="0.25">
      <c r="A67">
        <v>754372876</v>
      </c>
      <c r="B67" t="s">
        <v>524</v>
      </c>
      <c r="C67" t="s">
        <v>160</v>
      </c>
      <c r="D67" t="s">
        <v>82</v>
      </c>
      <c r="E67" s="93">
        <v>39860</v>
      </c>
    </row>
    <row r="68" spans="1:5" x14ac:dyDescent="0.25">
      <c r="A68">
        <v>243322160</v>
      </c>
      <c r="B68" t="s">
        <v>651</v>
      </c>
      <c r="C68" t="s">
        <v>640</v>
      </c>
      <c r="D68" t="s">
        <v>280</v>
      </c>
      <c r="E68" s="93">
        <v>39874</v>
      </c>
    </row>
    <row r="69" spans="1:5" x14ac:dyDescent="0.25">
      <c r="A69">
        <v>500412746</v>
      </c>
      <c r="B69" t="s">
        <v>525</v>
      </c>
      <c r="C69" t="s">
        <v>160</v>
      </c>
      <c r="D69" t="s">
        <v>280</v>
      </c>
      <c r="E69" s="93">
        <v>39870</v>
      </c>
    </row>
    <row r="70" spans="1:5" x14ac:dyDescent="0.25">
      <c r="A70">
        <v>621209647</v>
      </c>
      <c r="B70" t="s">
        <v>652</v>
      </c>
      <c r="C70" t="s">
        <v>610</v>
      </c>
      <c r="D70" t="s">
        <v>280</v>
      </c>
      <c r="E70" s="93">
        <v>39820</v>
      </c>
    </row>
    <row r="71" spans="1:5" x14ac:dyDescent="0.25">
      <c r="A71">
        <v>319472946</v>
      </c>
      <c r="B71" t="s">
        <v>653</v>
      </c>
      <c r="C71" t="s">
        <v>633</v>
      </c>
      <c r="D71" t="s">
        <v>280</v>
      </c>
      <c r="E71" s="93">
        <v>39845</v>
      </c>
    </row>
    <row r="72" spans="1:5" x14ac:dyDescent="0.25">
      <c r="A72">
        <v>345106466</v>
      </c>
      <c r="B72" t="s">
        <v>654</v>
      </c>
      <c r="C72" t="s">
        <v>655</v>
      </c>
      <c r="D72" t="s">
        <v>280</v>
      </c>
      <c r="E72" s="93">
        <v>39817</v>
      </c>
    </row>
  </sheetData>
  <sheetProtection algorithmName="SHA-512" hashValue="Jcu+sCn+XRJNidlYQBEzuGmgON5Z/Iu2OrN4cklHSxMPYNXLkOW1LQK1lSWBmwO3xobz/CzcgXpXwDKvthsoMg==" saltValue="FA5+ZeG6eEtnEk9oBqlB+w==" spinCount="100000" sheet="1" objects="1" scenarios="1"/>
  <mergeCells count="1">
    <mergeCell ref="A2:D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BC4D0-A219-4AD0-8518-5078DF18FEC8}">
  <sheetPr codeName="Sheet18"/>
  <dimension ref="A1:K45"/>
  <sheetViews>
    <sheetView workbookViewId="0">
      <selection activeCell="A3" sqref="A3"/>
    </sheetView>
  </sheetViews>
  <sheetFormatPr defaultRowHeight="15" x14ac:dyDescent="0.25"/>
  <sheetData>
    <row r="1" spans="1:11" x14ac:dyDescent="0.25">
      <c r="C1" t="s">
        <v>175</v>
      </c>
      <c r="D1">
        <v>10</v>
      </c>
    </row>
    <row r="2" spans="1:11" x14ac:dyDescent="0.25">
      <c r="A2" cm="1">
        <f t="array" ref="A2">gradeGenericQuestionRange("Text",A5:D45,D1,Question6!A5:D45)</f>
        <v>1.7073163986206055</v>
      </c>
      <c r="E2" s="90"/>
      <c r="F2" s="90" t="s">
        <v>281</v>
      </c>
    </row>
    <row r="3" spans="1:11" x14ac:dyDescent="0.25">
      <c r="E3" s="95"/>
      <c r="F3" s="90" t="s">
        <v>176</v>
      </c>
    </row>
    <row r="4" spans="1:11" x14ac:dyDescent="0.25">
      <c r="E4" s="90"/>
      <c r="F4" s="90" t="s">
        <v>529</v>
      </c>
    </row>
    <row r="5" spans="1:11" x14ac:dyDescent="0.25">
      <c r="A5" t="s">
        <v>285</v>
      </c>
      <c r="B5" t="s">
        <v>170</v>
      </c>
      <c r="C5" t="s">
        <v>171</v>
      </c>
      <c r="D5" t="s">
        <v>286</v>
      </c>
      <c r="E5" s="90"/>
      <c r="F5" s="90" t="s">
        <v>282</v>
      </c>
    </row>
    <row r="6" spans="1:11" x14ac:dyDescent="0.25">
      <c r="A6">
        <v>377784364</v>
      </c>
      <c r="B6" t="s">
        <v>483</v>
      </c>
      <c r="C6" t="s">
        <v>484</v>
      </c>
      <c r="D6" t="s">
        <v>280</v>
      </c>
      <c r="F6" s="90" t="s">
        <v>283</v>
      </c>
    </row>
    <row r="7" spans="1:11" x14ac:dyDescent="0.25">
      <c r="A7">
        <v>764853868</v>
      </c>
      <c r="B7" t="s">
        <v>485</v>
      </c>
      <c r="C7" t="s">
        <v>486</v>
      </c>
      <c r="D7" t="s">
        <v>280</v>
      </c>
      <c r="F7" s="90" t="s">
        <v>284</v>
      </c>
    </row>
    <row r="8" spans="1:11" x14ac:dyDescent="0.25">
      <c r="A8">
        <v>969985265</v>
      </c>
      <c r="B8" t="s">
        <v>487</v>
      </c>
      <c r="C8" t="s">
        <v>162</v>
      </c>
      <c r="D8" t="s">
        <v>82</v>
      </c>
    </row>
    <row r="9" spans="1:11" x14ac:dyDescent="0.25">
      <c r="A9">
        <v>999440576</v>
      </c>
      <c r="B9" t="s">
        <v>488</v>
      </c>
      <c r="C9" t="s">
        <v>160</v>
      </c>
      <c r="D9" t="s">
        <v>280</v>
      </c>
    </row>
    <row r="10" spans="1:11" x14ac:dyDescent="0.25">
      <c r="A10">
        <v>410742000</v>
      </c>
      <c r="B10" t="s">
        <v>489</v>
      </c>
      <c r="C10" t="s">
        <v>160</v>
      </c>
      <c r="D10" t="s">
        <v>82</v>
      </c>
    </row>
    <row r="11" spans="1:11" x14ac:dyDescent="0.25">
      <c r="A11">
        <v>227319668</v>
      </c>
      <c r="B11" t="s">
        <v>490</v>
      </c>
      <c r="C11" t="s">
        <v>486</v>
      </c>
      <c r="D11" t="s">
        <v>82</v>
      </c>
    </row>
    <row r="12" spans="1:11" x14ac:dyDescent="0.25">
      <c r="A12">
        <v>599942664</v>
      </c>
      <c r="B12" t="s">
        <v>491</v>
      </c>
      <c r="C12" t="s">
        <v>492</v>
      </c>
      <c r="D12" t="s">
        <v>280</v>
      </c>
    </row>
    <row r="13" spans="1:11" x14ac:dyDescent="0.25">
      <c r="A13">
        <v>539490372</v>
      </c>
      <c r="B13" t="s">
        <v>493</v>
      </c>
      <c r="C13" t="s">
        <v>484</v>
      </c>
      <c r="D13" t="s">
        <v>280</v>
      </c>
    </row>
    <row r="14" spans="1:11" x14ac:dyDescent="0.25">
      <c r="A14">
        <v>860123571</v>
      </c>
      <c r="B14" t="s">
        <v>494</v>
      </c>
      <c r="C14" t="s">
        <v>486</v>
      </c>
      <c r="D14" t="s">
        <v>280</v>
      </c>
      <c r="I14" t="s">
        <v>528</v>
      </c>
      <c r="K14" t="s">
        <v>527</v>
      </c>
    </row>
    <row r="15" spans="1:11" x14ac:dyDescent="0.25">
      <c r="A15">
        <v>652535724</v>
      </c>
      <c r="B15" t="s">
        <v>495</v>
      </c>
      <c r="C15" t="s">
        <v>492</v>
      </c>
      <c r="D15" t="s">
        <v>82</v>
      </c>
    </row>
    <row r="16" spans="1:11" x14ac:dyDescent="0.25">
      <c r="A16">
        <v>222400012</v>
      </c>
      <c r="B16" t="s">
        <v>496</v>
      </c>
      <c r="C16" t="s">
        <v>492</v>
      </c>
      <c r="D16" t="s">
        <v>280</v>
      </c>
    </row>
    <row r="17" spans="1:4" x14ac:dyDescent="0.25">
      <c r="A17">
        <v>912141525</v>
      </c>
      <c r="B17" t="s">
        <v>497</v>
      </c>
      <c r="C17" t="s">
        <v>492</v>
      </c>
      <c r="D17" t="s">
        <v>82</v>
      </c>
    </row>
    <row r="18" spans="1:4" x14ac:dyDescent="0.25">
      <c r="A18">
        <v>749211824</v>
      </c>
      <c r="B18" t="s">
        <v>498</v>
      </c>
      <c r="C18" t="s">
        <v>161</v>
      </c>
      <c r="D18" t="s">
        <v>280</v>
      </c>
    </row>
    <row r="19" spans="1:4" x14ac:dyDescent="0.25">
      <c r="A19">
        <v>440379437</v>
      </c>
      <c r="B19" t="s">
        <v>499</v>
      </c>
      <c r="C19" t="s">
        <v>161</v>
      </c>
      <c r="D19" t="s">
        <v>280</v>
      </c>
    </row>
    <row r="20" spans="1:4" x14ac:dyDescent="0.25">
      <c r="A20">
        <v>153288994</v>
      </c>
      <c r="B20" t="s">
        <v>500</v>
      </c>
      <c r="C20" t="s">
        <v>492</v>
      </c>
      <c r="D20" t="s">
        <v>280</v>
      </c>
    </row>
    <row r="21" spans="1:4" x14ac:dyDescent="0.25">
      <c r="A21">
        <v>305522471</v>
      </c>
      <c r="B21" t="s">
        <v>501</v>
      </c>
      <c r="C21" t="s">
        <v>162</v>
      </c>
      <c r="D21" t="s">
        <v>280</v>
      </c>
    </row>
    <row r="22" spans="1:4" x14ac:dyDescent="0.25">
      <c r="A22">
        <v>788456780</v>
      </c>
      <c r="B22" t="s">
        <v>502</v>
      </c>
      <c r="C22" t="s">
        <v>160</v>
      </c>
      <c r="D22" t="s">
        <v>280</v>
      </c>
    </row>
    <row r="23" spans="1:4" x14ac:dyDescent="0.25">
      <c r="A23">
        <v>167554340</v>
      </c>
      <c r="B23" t="s">
        <v>503</v>
      </c>
      <c r="C23" t="s">
        <v>484</v>
      </c>
      <c r="D23" t="s">
        <v>82</v>
      </c>
    </row>
    <row r="24" spans="1:4" x14ac:dyDescent="0.25">
      <c r="A24">
        <v>693168613</v>
      </c>
      <c r="B24" t="s">
        <v>504</v>
      </c>
      <c r="C24" t="s">
        <v>161</v>
      </c>
      <c r="D24" t="s">
        <v>280</v>
      </c>
    </row>
    <row r="25" spans="1:4" x14ac:dyDescent="0.25">
      <c r="A25">
        <v>322160340</v>
      </c>
      <c r="B25" t="s">
        <v>505</v>
      </c>
      <c r="C25" t="s">
        <v>162</v>
      </c>
      <c r="D25" t="s">
        <v>280</v>
      </c>
    </row>
    <row r="26" spans="1:4" x14ac:dyDescent="0.25">
      <c r="A26">
        <v>204035155</v>
      </c>
      <c r="B26" t="s">
        <v>506</v>
      </c>
      <c r="C26" t="s">
        <v>492</v>
      </c>
      <c r="D26" t="s">
        <v>280</v>
      </c>
    </row>
    <row r="27" spans="1:4" x14ac:dyDescent="0.25">
      <c r="A27">
        <v>19312190</v>
      </c>
      <c r="B27" t="s">
        <v>507</v>
      </c>
      <c r="C27" t="s">
        <v>161</v>
      </c>
      <c r="D27" t="s">
        <v>82</v>
      </c>
    </row>
    <row r="28" spans="1:4" x14ac:dyDescent="0.25">
      <c r="A28">
        <v>364818297</v>
      </c>
      <c r="B28" t="s">
        <v>508</v>
      </c>
      <c r="C28" t="s">
        <v>486</v>
      </c>
      <c r="D28" t="s">
        <v>280</v>
      </c>
    </row>
    <row r="29" spans="1:4" x14ac:dyDescent="0.25">
      <c r="A29">
        <v>750246141</v>
      </c>
      <c r="B29" t="s">
        <v>509</v>
      </c>
      <c r="C29" t="s">
        <v>160</v>
      </c>
      <c r="D29" t="s">
        <v>82</v>
      </c>
    </row>
    <row r="30" spans="1:4" x14ac:dyDescent="0.25">
      <c r="A30">
        <v>301435199</v>
      </c>
      <c r="B30" t="s">
        <v>510</v>
      </c>
      <c r="C30" t="s">
        <v>486</v>
      </c>
      <c r="D30" t="s">
        <v>82</v>
      </c>
    </row>
    <row r="31" spans="1:4" x14ac:dyDescent="0.25">
      <c r="A31">
        <v>878395493</v>
      </c>
      <c r="B31" t="s">
        <v>511</v>
      </c>
      <c r="C31" t="s">
        <v>486</v>
      </c>
      <c r="D31" t="s">
        <v>280</v>
      </c>
    </row>
    <row r="32" spans="1:4" x14ac:dyDescent="0.25">
      <c r="A32">
        <v>342607223</v>
      </c>
      <c r="B32" t="s">
        <v>512</v>
      </c>
      <c r="C32" t="s">
        <v>492</v>
      </c>
      <c r="D32" t="s">
        <v>280</v>
      </c>
    </row>
    <row r="33" spans="1:4" x14ac:dyDescent="0.25">
      <c r="A33">
        <v>693325305</v>
      </c>
      <c r="B33" t="s">
        <v>513</v>
      </c>
      <c r="C33" t="s">
        <v>160</v>
      </c>
      <c r="D33" t="s">
        <v>82</v>
      </c>
    </row>
    <row r="34" spans="1:4" x14ac:dyDescent="0.25">
      <c r="A34">
        <v>1300049</v>
      </c>
      <c r="B34" t="s">
        <v>514</v>
      </c>
      <c r="C34" t="s">
        <v>161</v>
      </c>
      <c r="D34" t="s">
        <v>82</v>
      </c>
    </row>
    <row r="35" spans="1:4" x14ac:dyDescent="0.25">
      <c r="A35">
        <v>886023130</v>
      </c>
      <c r="B35" t="s">
        <v>515</v>
      </c>
      <c r="C35" t="s">
        <v>162</v>
      </c>
      <c r="D35" t="s">
        <v>280</v>
      </c>
    </row>
    <row r="36" spans="1:4" x14ac:dyDescent="0.25">
      <c r="A36">
        <v>992874797</v>
      </c>
      <c r="B36" t="s">
        <v>516</v>
      </c>
      <c r="C36" t="s">
        <v>161</v>
      </c>
      <c r="D36" t="s">
        <v>82</v>
      </c>
    </row>
    <row r="37" spans="1:4" x14ac:dyDescent="0.25">
      <c r="A37">
        <v>259388196</v>
      </c>
      <c r="B37" t="s">
        <v>517</v>
      </c>
      <c r="C37" t="s">
        <v>486</v>
      </c>
      <c r="D37" t="s">
        <v>280</v>
      </c>
    </row>
    <row r="38" spans="1:4" x14ac:dyDescent="0.25">
      <c r="A38">
        <v>993310268</v>
      </c>
      <c r="B38" t="s">
        <v>518</v>
      </c>
      <c r="C38" t="s">
        <v>486</v>
      </c>
      <c r="D38" t="s">
        <v>280</v>
      </c>
    </row>
    <row r="39" spans="1:4" x14ac:dyDescent="0.25">
      <c r="A39">
        <v>551346974</v>
      </c>
      <c r="B39" t="s">
        <v>519</v>
      </c>
      <c r="C39" t="s">
        <v>486</v>
      </c>
      <c r="D39" t="s">
        <v>280</v>
      </c>
    </row>
    <row r="40" spans="1:4" x14ac:dyDescent="0.25">
      <c r="A40">
        <v>769680433</v>
      </c>
      <c r="B40" t="s">
        <v>520</v>
      </c>
      <c r="C40" t="s">
        <v>161</v>
      </c>
      <c r="D40" t="s">
        <v>280</v>
      </c>
    </row>
    <row r="41" spans="1:4" x14ac:dyDescent="0.25">
      <c r="A41">
        <v>25011600</v>
      </c>
      <c r="B41" t="s">
        <v>521</v>
      </c>
      <c r="C41" t="s">
        <v>162</v>
      </c>
      <c r="D41" t="s">
        <v>82</v>
      </c>
    </row>
    <row r="42" spans="1:4" x14ac:dyDescent="0.25">
      <c r="A42">
        <v>152085091</v>
      </c>
      <c r="B42" t="s">
        <v>522</v>
      </c>
      <c r="C42" t="s">
        <v>492</v>
      </c>
      <c r="D42" t="s">
        <v>280</v>
      </c>
    </row>
    <row r="43" spans="1:4" x14ac:dyDescent="0.25">
      <c r="A43">
        <v>199546871</v>
      </c>
      <c r="B43" t="s">
        <v>523</v>
      </c>
      <c r="C43" t="s">
        <v>484</v>
      </c>
      <c r="D43" t="s">
        <v>280</v>
      </c>
    </row>
    <row r="44" spans="1:4" x14ac:dyDescent="0.25">
      <c r="A44">
        <v>754372876</v>
      </c>
      <c r="B44" t="s">
        <v>524</v>
      </c>
      <c r="C44" t="s">
        <v>160</v>
      </c>
      <c r="D44" t="s">
        <v>82</v>
      </c>
    </row>
    <row r="45" spans="1:4" x14ac:dyDescent="0.25">
      <c r="A45">
        <v>500412746</v>
      </c>
      <c r="B45" t="s">
        <v>525</v>
      </c>
      <c r="C45" t="s">
        <v>160</v>
      </c>
      <c r="D45" t="s">
        <v>280</v>
      </c>
    </row>
  </sheetData>
  <sheetProtection algorithmName="SHA-512" hashValue="9DtCpZUKQklcwJUojVvfACWJFxl1XB8pcZRW8fEn4gmJq6w/1n+2hn5InWgjgzKYPI9l/3gMg0IJCCF/kGUesQ==" saltValue="KOYwEQ9+p3hFkys0AXK+4Q==" spinCount="100000"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70626-E343-43CF-8916-879AB8BF3AF5}">
  <sheetPr codeName="Sheet20"/>
  <dimension ref="A1:N58"/>
  <sheetViews>
    <sheetView workbookViewId="0">
      <selection activeCell="K14" sqref="K14"/>
    </sheetView>
  </sheetViews>
  <sheetFormatPr defaultRowHeight="15" x14ac:dyDescent="0.25"/>
  <cols>
    <col min="1" max="1" width="15.7109375" customWidth="1"/>
    <col min="2" max="2" width="34.42578125" customWidth="1"/>
  </cols>
  <sheetData>
    <row r="1" spans="1:14" x14ac:dyDescent="0.25">
      <c r="A1" s="87" t="s">
        <v>178</v>
      </c>
      <c r="B1" s="87">
        <f>Answer7!D1</f>
        <v>10</v>
      </c>
      <c r="C1" s="87" t="s">
        <v>175</v>
      </c>
      <c r="D1" t="s">
        <v>177</v>
      </c>
    </row>
    <row r="2" spans="1:14" ht="80.45" customHeight="1" x14ac:dyDescent="0.25">
      <c r="A2" s="133" t="s">
        <v>536</v>
      </c>
      <c r="B2" s="134"/>
      <c r="C2" s="134"/>
      <c r="D2" s="134"/>
      <c r="E2" s="134"/>
      <c r="F2" s="134"/>
    </row>
    <row r="3" spans="1:14" ht="15.75" x14ac:dyDescent="0.25">
      <c r="A3" s="89" t="s">
        <v>173</v>
      </c>
      <c r="N3" s="120" t="s">
        <v>658</v>
      </c>
    </row>
    <row r="4" spans="1:14" x14ac:dyDescent="0.25">
      <c r="N4" s="120" t="s">
        <v>666</v>
      </c>
    </row>
    <row r="5" spans="1:14" x14ac:dyDescent="0.25">
      <c r="A5" s="121" t="s">
        <v>253</v>
      </c>
      <c r="B5" s="86"/>
      <c r="C5" s="86"/>
      <c r="N5" s="120" t="s">
        <v>701</v>
      </c>
    </row>
    <row r="6" spans="1:14" x14ac:dyDescent="0.25">
      <c r="A6" s="115">
        <v>51090</v>
      </c>
      <c r="B6" s="86"/>
      <c r="C6" s="86"/>
      <c r="N6" s="120" t="s">
        <v>290</v>
      </c>
    </row>
    <row r="7" spans="1:14" x14ac:dyDescent="0.25">
      <c r="A7" s="121">
        <v>51109</v>
      </c>
      <c r="B7" s="86"/>
      <c r="C7" s="86"/>
      <c r="N7" s="120" t="s">
        <v>658</v>
      </c>
    </row>
    <row r="8" spans="1:14" x14ac:dyDescent="0.25">
      <c r="A8" s="122">
        <v>51120</v>
      </c>
      <c r="N8" s="120" t="s">
        <v>666</v>
      </c>
    </row>
    <row r="9" spans="1:14" x14ac:dyDescent="0.25">
      <c r="A9" s="123">
        <v>51126</v>
      </c>
      <c r="N9" s="120" t="s">
        <v>704</v>
      </c>
    </row>
    <row r="10" spans="1:14" x14ac:dyDescent="0.25">
      <c r="A10" s="123">
        <v>51131</v>
      </c>
      <c r="N10" s="120" t="s">
        <v>587</v>
      </c>
    </row>
    <row r="11" spans="1:14" x14ac:dyDescent="0.25">
      <c r="A11" s="123">
        <v>51138</v>
      </c>
    </row>
    <row r="12" spans="1:14" x14ac:dyDescent="0.25">
      <c r="A12" s="122">
        <v>51146</v>
      </c>
    </row>
    <row r="13" spans="1:14" x14ac:dyDescent="0.25">
      <c r="A13">
        <v>51157</v>
      </c>
    </row>
    <row r="14" spans="1:14" x14ac:dyDescent="0.25">
      <c r="A14">
        <v>51160</v>
      </c>
    </row>
    <row r="15" spans="1:14" x14ac:dyDescent="0.25">
      <c r="A15">
        <v>51169</v>
      </c>
    </row>
    <row r="16" spans="1:14" x14ac:dyDescent="0.25">
      <c r="A16">
        <v>51721</v>
      </c>
    </row>
    <row r="17" spans="1:1" x14ac:dyDescent="0.25">
      <c r="A17">
        <v>51735</v>
      </c>
    </row>
    <row r="18" spans="1:1" x14ac:dyDescent="0.25">
      <c r="A18">
        <v>51739</v>
      </c>
    </row>
    <row r="19" spans="1:1" x14ac:dyDescent="0.25">
      <c r="A19">
        <v>51751</v>
      </c>
    </row>
    <row r="20" spans="1:1" x14ac:dyDescent="0.25">
      <c r="A20">
        <v>51760</v>
      </c>
    </row>
    <row r="21" spans="1:1" x14ac:dyDescent="0.25">
      <c r="A21">
        <v>51761</v>
      </c>
    </row>
    <row r="22" spans="1:1" x14ac:dyDescent="0.25">
      <c r="A22">
        <v>51774</v>
      </c>
    </row>
    <row r="23" spans="1:1" x14ac:dyDescent="0.25">
      <c r="A23">
        <v>51789</v>
      </c>
    </row>
    <row r="24" spans="1:1" x14ac:dyDescent="0.25">
      <c r="A24">
        <v>51823</v>
      </c>
    </row>
    <row r="25" spans="1:1" x14ac:dyDescent="0.25">
      <c r="A25">
        <v>51825</v>
      </c>
    </row>
    <row r="26" spans="1:1" x14ac:dyDescent="0.25">
      <c r="A26">
        <v>51837</v>
      </c>
    </row>
    <row r="27" spans="1:1" x14ac:dyDescent="0.25">
      <c r="A27">
        <v>51858</v>
      </c>
    </row>
    <row r="28" spans="1:1" x14ac:dyDescent="0.25">
      <c r="A28">
        <v>51875</v>
      </c>
    </row>
    <row r="29" spans="1:1" x14ac:dyDescent="0.25">
      <c r="A29">
        <v>53458</v>
      </c>
    </row>
    <row r="30" spans="1:1" x14ac:dyDescent="0.25">
      <c r="A30">
        <v>53465</v>
      </c>
    </row>
    <row r="31" spans="1:1" x14ac:dyDescent="0.25">
      <c r="A31">
        <v>53470</v>
      </c>
    </row>
    <row r="32" spans="1:1" x14ac:dyDescent="0.25">
      <c r="A32">
        <v>53483</v>
      </c>
    </row>
    <row r="33" spans="1:1" x14ac:dyDescent="0.25">
      <c r="A33">
        <v>53500</v>
      </c>
    </row>
    <row r="34" spans="1:1" x14ac:dyDescent="0.25">
      <c r="A34">
        <v>53508</v>
      </c>
    </row>
    <row r="35" spans="1:1" x14ac:dyDescent="0.25">
      <c r="A35">
        <v>53513</v>
      </c>
    </row>
    <row r="36" spans="1:1" x14ac:dyDescent="0.25">
      <c r="A36">
        <v>53520</v>
      </c>
    </row>
    <row r="37" spans="1:1" x14ac:dyDescent="0.25">
      <c r="A37">
        <v>53524</v>
      </c>
    </row>
    <row r="38" spans="1:1" x14ac:dyDescent="0.25">
      <c r="A38">
        <v>53535</v>
      </c>
    </row>
    <row r="39" spans="1:1" x14ac:dyDescent="0.25">
      <c r="A39">
        <v>53536</v>
      </c>
    </row>
    <row r="40" spans="1:1" x14ac:dyDescent="0.25">
      <c r="A40">
        <v>53551</v>
      </c>
    </row>
    <row r="41" spans="1:1" x14ac:dyDescent="0.25">
      <c r="A41">
        <v>53560</v>
      </c>
    </row>
    <row r="42" spans="1:1" x14ac:dyDescent="0.25">
      <c r="A42">
        <v>53590</v>
      </c>
    </row>
    <row r="43" spans="1:1" x14ac:dyDescent="0.25">
      <c r="A43">
        <v>55276</v>
      </c>
    </row>
    <row r="44" spans="1:1" x14ac:dyDescent="0.25">
      <c r="A44">
        <v>55282</v>
      </c>
    </row>
    <row r="45" spans="1:1" x14ac:dyDescent="0.25">
      <c r="A45">
        <v>57012</v>
      </c>
    </row>
    <row r="46" spans="1:1" x14ac:dyDescent="0.25">
      <c r="A46">
        <v>57054</v>
      </c>
    </row>
    <row r="47" spans="1:1" x14ac:dyDescent="0.25">
      <c r="A47">
        <v>57130</v>
      </c>
    </row>
    <row r="48" spans="1:1" x14ac:dyDescent="0.25">
      <c r="A48">
        <v>57143</v>
      </c>
    </row>
    <row r="49" spans="1:1" x14ac:dyDescent="0.25">
      <c r="A49">
        <v>58958</v>
      </c>
    </row>
    <row r="50" spans="1:1" x14ac:dyDescent="0.25">
      <c r="A50">
        <v>58980</v>
      </c>
    </row>
    <row r="51" spans="1:1" x14ac:dyDescent="0.25">
      <c r="A51">
        <v>69433</v>
      </c>
    </row>
    <row r="52" spans="1:1" x14ac:dyDescent="0.25">
      <c r="A52">
        <v>69449</v>
      </c>
    </row>
    <row r="53" spans="1:1" x14ac:dyDescent="0.25">
      <c r="A53">
        <v>69521</v>
      </c>
    </row>
    <row r="54" spans="1:1" x14ac:dyDescent="0.25">
      <c r="A54">
        <v>69535</v>
      </c>
    </row>
    <row r="55" spans="1:1" x14ac:dyDescent="0.25">
      <c r="A55">
        <v>69558</v>
      </c>
    </row>
    <row r="56" spans="1:1" x14ac:dyDescent="0.25">
      <c r="A56">
        <v>71818</v>
      </c>
    </row>
    <row r="57" spans="1:1" x14ac:dyDescent="0.25">
      <c r="A57">
        <v>71830</v>
      </c>
    </row>
    <row r="58" spans="1:1" x14ac:dyDescent="0.25">
      <c r="A58">
        <v>71847</v>
      </c>
    </row>
  </sheetData>
  <sheetProtection algorithmName="SHA-512" hashValue="lkmHKs72Evvmn7XAfWoSFW50ZSu4rC90j7zgOu/z3SAyS3bMJHMYCktKKOiDruLkBb2sH8GRMgod/mfshE/tOQ==" saltValue="g2LYTJwM3I3vYRc6XQ1EvA==" spinCount="100000" sheet="1" objects="1" scenarios="1"/>
  <mergeCells count="1">
    <mergeCell ref="A2:F2"/>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2C3C-34CC-4E72-8D18-B4CDF462358D}">
  <sheetPr codeName="Sheet19"/>
  <dimension ref="A1:P58"/>
  <sheetViews>
    <sheetView topLeftCell="A10" workbookViewId="0">
      <selection activeCell="A3" sqref="A3"/>
    </sheetView>
  </sheetViews>
  <sheetFormatPr defaultRowHeight="15" x14ac:dyDescent="0.25"/>
  <sheetData>
    <row r="1" spans="1:16" x14ac:dyDescent="0.25">
      <c r="C1" t="s">
        <v>175</v>
      </c>
      <c r="D1">
        <v>10</v>
      </c>
    </row>
    <row r="2" spans="1:16" x14ac:dyDescent="0.25">
      <c r="A2" cm="1">
        <f t="array" ref="A2">gradeGenericQuestionRange("Text",A5:A58,D1,Question7!A5:A58)</f>
        <v>9.9999971389770508</v>
      </c>
      <c r="J2" s="94" t="s">
        <v>287</v>
      </c>
    </row>
    <row r="3" spans="1:16" x14ac:dyDescent="0.25">
      <c r="J3" s="94" t="s">
        <v>288</v>
      </c>
    </row>
    <row r="4" spans="1:16" x14ac:dyDescent="0.25">
      <c r="J4" s="94" t="s">
        <v>532</v>
      </c>
    </row>
    <row r="5" spans="1:16" x14ac:dyDescent="0.25">
      <c r="A5" t="s">
        <v>253</v>
      </c>
      <c r="J5" s="90" t="s">
        <v>290</v>
      </c>
    </row>
    <row r="6" spans="1:16" x14ac:dyDescent="0.25">
      <c r="A6">
        <v>51090</v>
      </c>
      <c r="J6" s="94" t="s">
        <v>287</v>
      </c>
    </row>
    <row r="7" spans="1:16" x14ac:dyDescent="0.25">
      <c r="A7">
        <v>51109</v>
      </c>
      <c r="J7" s="94" t="s">
        <v>288</v>
      </c>
    </row>
    <row r="8" spans="1:16" x14ac:dyDescent="0.25">
      <c r="A8">
        <v>51120</v>
      </c>
      <c r="J8" s="94" t="s">
        <v>533</v>
      </c>
    </row>
    <row r="9" spans="1:16" x14ac:dyDescent="0.25">
      <c r="A9">
        <v>51126</v>
      </c>
      <c r="J9" s="90" t="s">
        <v>292</v>
      </c>
    </row>
    <row r="10" spans="1:16" x14ac:dyDescent="0.25">
      <c r="A10">
        <v>51131</v>
      </c>
    </row>
    <row r="11" spans="1:16" x14ac:dyDescent="0.25">
      <c r="A11">
        <v>51138</v>
      </c>
    </row>
    <row r="12" spans="1:16" x14ac:dyDescent="0.25">
      <c r="A12">
        <v>51146</v>
      </c>
    </row>
    <row r="13" spans="1:16" x14ac:dyDescent="0.25">
      <c r="A13">
        <v>51157</v>
      </c>
    </row>
    <row r="14" spans="1:16" x14ac:dyDescent="0.25">
      <c r="A14">
        <v>51160</v>
      </c>
      <c r="P14" s="94" t="s">
        <v>287</v>
      </c>
    </row>
    <row r="15" spans="1:16" x14ac:dyDescent="0.25">
      <c r="A15">
        <v>51169</v>
      </c>
      <c r="P15" s="94" t="s">
        <v>288</v>
      </c>
    </row>
    <row r="16" spans="1:16" x14ac:dyDescent="0.25">
      <c r="A16">
        <v>51721</v>
      </c>
      <c r="P16" s="94" t="s">
        <v>289</v>
      </c>
    </row>
    <row r="17" spans="1:16" x14ac:dyDescent="0.25">
      <c r="A17">
        <v>51735</v>
      </c>
      <c r="K17" t="s">
        <v>531</v>
      </c>
      <c r="P17" s="90" t="s">
        <v>290</v>
      </c>
    </row>
    <row r="18" spans="1:16" x14ac:dyDescent="0.25">
      <c r="A18">
        <v>51739</v>
      </c>
      <c r="P18" s="94" t="s">
        <v>287</v>
      </c>
    </row>
    <row r="19" spans="1:16" x14ac:dyDescent="0.25">
      <c r="A19">
        <v>51751</v>
      </c>
      <c r="P19" s="94" t="s">
        <v>288</v>
      </c>
    </row>
    <row r="20" spans="1:16" x14ac:dyDescent="0.25">
      <c r="A20">
        <v>51760</v>
      </c>
      <c r="P20" s="94" t="s">
        <v>291</v>
      </c>
    </row>
    <row r="21" spans="1:16" x14ac:dyDescent="0.25">
      <c r="A21">
        <v>51761</v>
      </c>
      <c r="P21" s="90" t="s">
        <v>292</v>
      </c>
    </row>
    <row r="22" spans="1:16" x14ac:dyDescent="0.25">
      <c r="A22">
        <v>51774</v>
      </c>
    </row>
    <row r="23" spans="1:16" x14ac:dyDescent="0.25">
      <c r="A23">
        <v>51789</v>
      </c>
    </row>
    <row r="24" spans="1:16" x14ac:dyDescent="0.25">
      <c r="A24">
        <v>51823</v>
      </c>
    </row>
    <row r="25" spans="1:16" x14ac:dyDescent="0.25">
      <c r="A25">
        <v>51825</v>
      </c>
    </row>
    <row r="26" spans="1:16" x14ac:dyDescent="0.25">
      <c r="A26">
        <v>51837</v>
      </c>
    </row>
    <row r="27" spans="1:16" x14ac:dyDescent="0.25">
      <c r="A27">
        <v>51858</v>
      </c>
    </row>
    <row r="28" spans="1:16" x14ac:dyDescent="0.25">
      <c r="A28">
        <v>51875</v>
      </c>
    </row>
    <row r="29" spans="1:16" x14ac:dyDescent="0.25">
      <c r="A29">
        <v>53458</v>
      </c>
    </row>
    <row r="30" spans="1:16" x14ac:dyDescent="0.25">
      <c r="A30">
        <v>53465</v>
      </c>
    </row>
    <row r="31" spans="1:16" x14ac:dyDescent="0.25">
      <c r="A31">
        <v>53470</v>
      </c>
    </row>
    <row r="32" spans="1:16" x14ac:dyDescent="0.25">
      <c r="A32">
        <v>53483</v>
      </c>
    </row>
    <row r="33" spans="1:1" x14ac:dyDescent="0.25">
      <c r="A33">
        <v>53500</v>
      </c>
    </row>
    <row r="34" spans="1:1" x14ac:dyDescent="0.25">
      <c r="A34">
        <v>53508</v>
      </c>
    </row>
    <row r="35" spans="1:1" x14ac:dyDescent="0.25">
      <c r="A35">
        <v>53513</v>
      </c>
    </row>
    <row r="36" spans="1:1" x14ac:dyDescent="0.25">
      <c r="A36">
        <v>53520</v>
      </c>
    </row>
    <row r="37" spans="1:1" x14ac:dyDescent="0.25">
      <c r="A37">
        <v>53524</v>
      </c>
    </row>
    <row r="38" spans="1:1" x14ac:dyDescent="0.25">
      <c r="A38">
        <v>53535</v>
      </c>
    </row>
    <row r="39" spans="1:1" x14ac:dyDescent="0.25">
      <c r="A39">
        <v>53536</v>
      </c>
    </row>
    <row r="40" spans="1:1" x14ac:dyDescent="0.25">
      <c r="A40">
        <v>53551</v>
      </c>
    </row>
    <row r="41" spans="1:1" x14ac:dyDescent="0.25">
      <c r="A41">
        <v>53560</v>
      </c>
    </row>
    <row r="42" spans="1:1" x14ac:dyDescent="0.25">
      <c r="A42">
        <v>53590</v>
      </c>
    </row>
    <row r="43" spans="1:1" x14ac:dyDescent="0.25">
      <c r="A43">
        <v>55276</v>
      </c>
    </row>
    <row r="44" spans="1:1" x14ac:dyDescent="0.25">
      <c r="A44">
        <v>55282</v>
      </c>
    </row>
    <row r="45" spans="1:1" x14ac:dyDescent="0.25">
      <c r="A45">
        <v>57012</v>
      </c>
    </row>
    <row r="46" spans="1:1" x14ac:dyDescent="0.25">
      <c r="A46">
        <v>57054</v>
      </c>
    </row>
    <row r="47" spans="1:1" x14ac:dyDescent="0.25">
      <c r="A47">
        <v>57130</v>
      </c>
    </row>
    <row r="48" spans="1:1" x14ac:dyDescent="0.25">
      <c r="A48">
        <v>57143</v>
      </c>
    </row>
    <row r="49" spans="1:1" x14ac:dyDescent="0.25">
      <c r="A49">
        <v>58958</v>
      </c>
    </row>
    <row r="50" spans="1:1" x14ac:dyDescent="0.25">
      <c r="A50">
        <v>58980</v>
      </c>
    </row>
    <row r="51" spans="1:1" x14ac:dyDescent="0.25">
      <c r="A51">
        <v>69433</v>
      </c>
    </row>
    <row r="52" spans="1:1" x14ac:dyDescent="0.25">
      <c r="A52">
        <v>69449</v>
      </c>
    </row>
    <row r="53" spans="1:1" x14ac:dyDescent="0.25">
      <c r="A53">
        <v>69521</v>
      </c>
    </row>
    <row r="54" spans="1:1" x14ac:dyDescent="0.25">
      <c r="A54">
        <v>69535</v>
      </c>
    </row>
    <row r="55" spans="1:1" x14ac:dyDescent="0.25">
      <c r="A55">
        <v>69558</v>
      </c>
    </row>
    <row r="56" spans="1:1" x14ac:dyDescent="0.25">
      <c r="A56">
        <v>71818</v>
      </c>
    </row>
    <row r="57" spans="1:1" x14ac:dyDescent="0.25">
      <c r="A57">
        <v>71830</v>
      </c>
    </row>
    <row r="58" spans="1:1" x14ac:dyDescent="0.25">
      <c r="A58">
        <v>71847</v>
      </c>
    </row>
  </sheetData>
  <sheetProtection algorithmName="SHA-512" hashValue="pU8RqC28KE9KD8htEBb+iRkDraKWCa6Av4z+lcpFLgsifQf/7ciCvCkK0fm3zDGeEZyvQjK4tT2rWnCzwVx2fQ==" saltValue="zVaPnXo0tVhHNsJTtzj8hA==" spinCount="100000"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D8" sqref="D8"/>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104</v>
      </c>
      <c r="C2" t="s">
        <v>62</v>
      </c>
      <c r="D2" s="6">
        <v>44814.458333333336</v>
      </c>
    </row>
    <row r="3" spans="2:4" x14ac:dyDescent="0.25">
      <c r="B3" t="s">
        <v>105</v>
      </c>
      <c r="C3" t="s">
        <v>62</v>
      </c>
      <c r="D3" s="6">
        <v>44905.458333333336</v>
      </c>
    </row>
    <row r="4" spans="2:4" x14ac:dyDescent="0.25">
      <c r="B4" t="s">
        <v>66</v>
      </c>
      <c r="C4" t="s">
        <v>67</v>
      </c>
      <c r="D4" s="7">
        <v>1115</v>
      </c>
    </row>
    <row r="5" spans="2:4" x14ac:dyDescent="0.25">
      <c r="B5" t="s">
        <v>103</v>
      </c>
      <c r="C5" t="s">
        <v>62</v>
      </c>
      <c r="D5" s="6" t="s">
        <v>156</v>
      </c>
    </row>
    <row r="6" spans="2:4" x14ac:dyDescent="0.25">
      <c r="B6" t="s">
        <v>106</v>
      </c>
      <c r="C6" t="s">
        <v>107</v>
      </c>
      <c r="D6" t="b">
        <v>0</v>
      </c>
    </row>
    <row r="7" spans="2:4" x14ac:dyDescent="0.25">
      <c r="B7" t="s">
        <v>179</v>
      </c>
      <c r="D7" t="s">
        <v>180</v>
      </c>
    </row>
  </sheetData>
  <sheetProtection algorithmName="SHA-512" hashValue="w8CA0qfWYcUuUE67E4th1WVlu0aWJvbGfqav/domQAHqnfSUqmxhDIv+wmZv+F2YDkeFE961v1iiR7QFA8pp1A==" saltValue="mkAaGyOa3Prf7rFuZDQypw=="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2:D3 D5" xr:uid="{AA9CA1D9-5BD2-40E6-8C3C-3F5F99DBE202}"/>
  </dataValidation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76"/>
  <sheetViews>
    <sheetView workbookViewId="0">
      <selection sqref="A1:XFD1048576"/>
    </sheetView>
  </sheetViews>
  <sheetFormatPr defaultRowHeight="15" x14ac:dyDescent="0.25"/>
  <cols>
    <col min="1" max="1" width="22.28515625" bestFit="1" customWidth="1"/>
    <col min="2" max="2" width="31.7109375" bestFit="1" customWidth="1"/>
    <col min="4" max="4" width="66.42578125" bestFit="1" customWidth="1"/>
  </cols>
  <sheetData>
    <row r="2" spans="1:6" x14ac:dyDescent="0.25">
      <c r="A2" t="s">
        <v>293</v>
      </c>
      <c r="B2" t="s">
        <v>294</v>
      </c>
    </row>
    <row r="3" spans="1:6" x14ac:dyDescent="0.25">
      <c r="A3" t="s">
        <v>538</v>
      </c>
      <c r="B3" t="s">
        <v>537</v>
      </c>
      <c r="D3" t="s">
        <v>537</v>
      </c>
      <c r="E3" t="s">
        <v>539</v>
      </c>
      <c r="F3" s="119">
        <v>44830.615034722221</v>
      </c>
    </row>
    <row r="4" spans="1:6" x14ac:dyDescent="0.25">
      <c r="A4" t="s">
        <v>540</v>
      </c>
      <c r="B4" t="s">
        <v>537</v>
      </c>
      <c r="E4" t="s">
        <v>539</v>
      </c>
      <c r="F4" s="119">
        <v>44830.615034722221</v>
      </c>
    </row>
    <row r="5" spans="1:6" x14ac:dyDescent="0.25">
      <c r="A5" t="s">
        <v>542</v>
      </c>
      <c r="B5" t="s">
        <v>537</v>
      </c>
      <c r="D5" t="s">
        <v>541</v>
      </c>
      <c r="E5" t="s">
        <v>539</v>
      </c>
      <c r="F5" s="119">
        <v>44830.615358796298</v>
      </c>
    </row>
    <row r="6" spans="1:6" x14ac:dyDescent="0.25">
      <c r="A6" t="s">
        <v>544</v>
      </c>
      <c r="B6" t="s">
        <v>537</v>
      </c>
      <c r="D6" t="s">
        <v>545</v>
      </c>
      <c r="E6" t="s">
        <v>539</v>
      </c>
      <c r="F6" s="119">
        <v>44830.618726851855</v>
      </c>
    </row>
    <row r="7" spans="1:6" x14ac:dyDescent="0.25">
      <c r="A7" t="s">
        <v>564</v>
      </c>
      <c r="B7" t="s">
        <v>537</v>
      </c>
      <c r="D7" t="s">
        <v>546</v>
      </c>
      <c r="E7" t="s">
        <v>539</v>
      </c>
      <c r="F7" s="119">
        <v>44830.61923611111</v>
      </c>
    </row>
    <row r="8" spans="1:6" x14ac:dyDescent="0.25">
      <c r="A8" t="s">
        <v>568</v>
      </c>
      <c r="B8" t="s">
        <v>537</v>
      </c>
      <c r="D8" t="s">
        <v>569</v>
      </c>
      <c r="E8" t="s">
        <v>539</v>
      </c>
      <c r="F8" s="119">
        <v>44830.627210648148</v>
      </c>
    </row>
    <row r="9" spans="1:6" x14ac:dyDescent="0.25">
      <c r="A9" t="s">
        <v>570</v>
      </c>
      <c r="B9" t="s">
        <v>537</v>
      </c>
      <c r="D9" t="s">
        <v>545</v>
      </c>
      <c r="E9" t="s">
        <v>539</v>
      </c>
      <c r="F9" s="119">
        <v>44830.627303240741</v>
      </c>
    </row>
    <row r="10" spans="1:6" x14ac:dyDescent="0.25">
      <c r="A10" t="s">
        <v>573</v>
      </c>
      <c r="B10" t="s">
        <v>537</v>
      </c>
      <c r="D10" t="s">
        <v>183</v>
      </c>
      <c r="E10" t="s">
        <v>539</v>
      </c>
      <c r="F10" s="119">
        <v>44830.633576388886</v>
      </c>
    </row>
    <row r="11" spans="1:6" x14ac:dyDescent="0.25">
      <c r="A11" t="s">
        <v>573</v>
      </c>
      <c r="B11" t="s">
        <v>537</v>
      </c>
      <c r="E11" t="s">
        <v>539</v>
      </c>
      <c r="F11" s="119">
        <v>44830.633726851855</v>
      </c>
    </row>
    <row r="12" spans="1:6" x14ac:dyDescent="0.25">
      <c r="A12" t="s">
        <v>573</v>
      </c>
      <c r="B12" t="s">
        <v>537</v>
      </c>
      <c r="D12" t="s">
        <v>183</v>
      </c>
      <c r="E12" t="s">
        <v>539</v>
      </c>
      <c r="F12" s="119">
        <v>44830.633773148147</v>
      </c>
    </row>
    <row r="13" spans="1:6" x14ac:dyDescent="0.25">
      <c r="A13" t="s">
        <v>574</v>
      </c>
      <c r="B13" t="s">
        <v>537</v>
      </c>
      <c r="D13" t="s">
        <v>183</v>
      </c>
      <c r="E13" t="s">
        <v>539</v>
      </c>
      <c r="F13" s="119">
        <v>44830.633946759262</v>
      </c>
    </row>
    <row r="14" spans="1:6" x14ac:dyDescent="0.25">
      <c r="A14" t="s">
        <v>575</v>
      </c>
      <c r="B14" t="s">
        <v>537</v>
      </c>
      <c r="D14" t="s">
        <v>227</v>
      </c>
      <c r="E14" t="s">
        <v>539</v>
      </c>
      <c r="F14" s="119">
        <v>44830.633981481478</v>
      </c>
    </row>
    <row r="15" spans="1:6" x14ac:dyDescent="0.25">
      <c r="A15" t="s">
        <v>573</v>
      </c>
      <c r="B15" t="s">
        <v>537</v>
      </c>
      <c r="E15" t="s">
        <v>539</v>
      </c>
      <c r="F15" s="119">
        <v>44830.634016203701</v>
      </c>
    </row>
    <row r="16" spans="1:6" x14ac:dyDescent="0.25">
      <c r="A16" t="s">
        <v>580</v>
      </c>
      <c r="B16" t="s">
        <v>537</v>
      </c>
      <c r="D16" t="s">
        <v>581</v>
      </c>
      <c r="E16" t="s">
        <v>539</v>
      </c>
      <c r="F16" s="119">
        <v>44830.636377314811</v>
      </c>
    </row>
    <row r="17" spans="1:6" x14ac:dyDescent="0.25">
      <c r="A17" t="s">
        <v>582</v>
      </c>
      <c r="B17" t="s">
        <v>537</v>
      </c>
      <c r="D17" t="s">
        <v>183</v>
      </c>
      <c r="E17" t="s">
        <v>539</v>
      </c>
      <c r="F17" s="119">
        <v>44830.636689814812</v>
      </c>
    </row>
    <row r="18" spans="1:6" x14ac:dyDescent="0.25">
      <c r="A18" t="s">
        <v>588</v>
      </c>
      <c r="B18" t="s">
        <v>537</v>
      </c>
      <c r="D18" t="s">
        <v>589</v>
      </c>
      <c r="E18" t="s">
        <v>539</v>
      </c>
      <c r="F18" s="119">
        <v>44830.64130787037</v>
      </c>
    </row>
    <row r="19" spans="1:6" x14ac:dyDescent="0.25">
      <c r="A19" t="s">
        <v>590</v>
      </c>
      <c r="B19" t="s">
        <v>537</v>
      </c>
      <c r="D19" t="s">
        <v>253</v>
      </c>
      <c r="E19" t="s">
        <v>539</v>
      </c>
      <c r="F19" s="119">
        <v>44830.641921296294</v>
      </c>
    </row>
    <row r="20" spans="1:6" x14ac:dyDescent="0.25">
      <c r="A20" t="s">
        <v>596</v>
      </c>
      <c r="B20" t="s">
        <v>537</v>
      </c>
      <c r="D20" t="s">
        <v>597</v>
      </c>
      <c r="E20" t="s">
        <v>539</v>
      </c>
      <c r="F20" s="119">
        <v>44830.65284722222</v>
      </c>
    </row>
    <row r="21" spans="1:6" x14ac:dyDescent="0.25">
      <c r="A21" t="s">
        <v>598</v>
      </c>
      <c r="B21" t="s">
        <v>537</v>
      </c>
      <c r="D21" t="s">
        <v>261</v>
      </c>
      <c r="E21" t="s">
        <v>539</v>
      </c>
      <c r="F21" s="119">
        <v>44830.652939814812</v>
      </c>
    </row>
    <row r="22" spans="1:6" x14ac:dyDescent="0.25">
      <c r="A22" t="s">
        <v>605</v>
      </c>
      <c r="B22" t="s">
        <v>537</v>
      </c>
      <c r="D22" t="s">
        <v>606</v>
      </c>
      <c r="E22" t="s">
        <v>539</v>
      </c>
      <c r="F22" s="119">
        <v>44830.657071759262</v>
      </c>
    </row>
    <row r="23" spans="1:6" x14ac:dyDescent="0.25">
      <c r="A23" t="s">
        <v>656</v>
      </c>
      <c r="B23" t="s">
        <v>537</v>
      </c>
      <c r="D23" t="s">
        <v>285</v>
      </c>
      <c r="E23" t="s">
        <v>539</v>
      </c>
      <c r="F23" s="119">
        <v>44830.657175925924</v>
      </c>
    </row>
    <row r="24" spans="1:6" x14ac:dyDescent="0.25">
      <c r="A24" t="s">
        <v>657</v>
      </c>
      <c r="B24" t="s">
        <v>537</v>
      </c>
      <c r="D24" s="93">
        <v>39857</v>
      </c>
      <c r="E24" t="s">
        <v>539</v>
      </c>
      <c r="F24" s="119">
        <v>44830.657268518517</v>
      </c>
    </row>
    <row r="25" spans="1:6" x14ac:dyDescent="0.25">
      <c r="A25" t="s">
        <v>659</v>
      </c>
      <c r="B25" t="s">
        <v>537</v>
      </c>
      <c r="D25" t="s">
        <v>660</v>
      </c>
      <c r="E25" t="s">
        <v>539</v>
      </c>
      <c r="F25" s="119">
        <v>44830.667210648149</v>
      </c>
    </row>
    <row r="26" spans="1:6" x14ac:dyDescent="0.25">
      <c r="A26" t="s">
        <v>661</v>
      </c>
      <c r="B26" t="s">
        <v>537</v>
      </c>
      <c r="D26" t="s">
        <v>253</v>
      </c>
      <c r="E26" t="s">
        <v>539</v>
      </c>
      <c r="F26" s="119">
        <v>44830.667546296296</v>
      </c>
    </row>
    <row r="27" spans="1:6" x14ac:dyDescent="0.25">
      <c r="A27" t="s">
        <v>662</v>
      </c>
      <c r="B27" t="s">
        <v>537</v>
      </c>
      <c r="D27">
        <v>51090</v>
      </c>
      <c r="E27" t="s">
        <v>539</v>
      </c>
      <c r="F27" s="119">
        <v>44830.667685185188</v>
      </c>
    </row>
    <row r="28" spans="1:6" x14ac:dyDescent="0.25">
      <c r="A28" t="s">
        <v>663</v>
      </c>
      <c r="B28" t="s">
        <v>537</v>
      </c>
      <c r="D28" t="s">
        <v>253</v>
      </c>
      <c r="E28" t="s">
        <v>539</v>
      </c>
      <c r="F28" s="119">
        <v>44830.667696759258</v>
      </c>
    </row>
    <row r="29" spans="1:6" x14ac:dyDescent="0.25">
      <c r="A29" t="s">
        <v>663</v>
      </c>
      <c r="B29" t="s">
        <v>537</v>
      </c>
      <c r="D29" t="s">
        <v>253</v>
      </c>
      <c r="E29" t="s">
        <v>539</v>
      </c>
      <c r="F29" s="119">
        <v>44830.667812500003</v>
      </c>
    </row>
    <row r="30" spans="1:6" x14ac:dyDescent="0.25">
      <c r="A30" t="s">
        <v>662</v>
      </c>
      <c r="B30" t="s">
        <v>537</v>
      </c>
      <c r="D30">
        <v>51090</v>
      </c>
      <c r="E30" t="s">
        <v>539</v>
      </c>
      <c r="F30" s="119">
        <v>44830.667893518519</v>
      </c>
    </row>
    <row r="31" spans="1:6" x14ac:dyDescent="0.25">
      <c r="A31" t="s">
        <v>662</v>
      </c>
      <c r="B31" t="s">
        <v>537</v>
      </c>
      <c r="D31">
        <v>51090</v>
      </c>
      <c r="E31" t="s">
        <v>539</v>
      </c>
      <c r="F31" s="119">
        <v>44830.66810185185</v>
      </c>
    </row>
    <row r="32" spans="1:6" x14ac:dyDescent="0.25">
      <c r="A32" t="s">
        <v>664</v>
      </c>
      <c r="B32" t="s">
        <v>537</v>
      </c>
      <c r="D32">
        <v>51120</v>
      </c>
      <c r="E32" t="s">
        <v>539</v>
      </c>
      <c r="F32" s="119">
        <v>44830.66815972222</v>
      </c>
    </row>
    <row r="33" spans="1:6" x14ac:dyDescent="0.25">
      <c r="A33" t="s">
        <v>665</v>
      </c>
      <c r="B33" t="s">
        <v>537</v>
      </c>
      <c r="D33">
        <v>51146</v>
      </c>
      <c r="E33" t="s">
        <v>539</v>
      </c>
      <c r="F33" s="119">
        <v>44830.668194444443</v>
      </c>
    </row>
    <row r="34" spans="1:6" x14ac:dyDescent="0.25">
      <c r="A34" t="s">
        <v>662</v>
      </c>
      <c r="B34" t="s">
        <v>537</v>
      </c>
      <c r="D34">
        <v>51090</v>
      </c>
      <c r="E34" t="s">
        <v>539</v>
      </c>
      <c r="F34" s="119">
        <v>44830.668310185189</v>
      </c>
    </row>
    <row r="35" spans="1:6" x14ac:dyDescent="0.25">
      <c r="A35" t="s">
        <v>662</v>
      </c>
      <c r="B35" t="s">
        <v>537</v>
      </c>
      <c r="D35">
        <v>51090</v>
      </c>
      <c r="E35" t="s">
        <v>539</v>
      </c>
      <c r="F35" s="119">
        <v>44830.668402777781</v>
      </c>
    </row>
    <row r="36" spans="1:6" x14ac:dyDescent="0.25">
      <c r="A36" t="s">
        <v>662</v>
      </c>
      <c r="B36" t="s">
        <v>537</v>
      </c>
      <c r="D36">
        <v>51090</v>
      </c>
      <c r="E36" t="s">
        <v>539</v>
      </c>
      <c r="F36" s="119">
        <v>44830.668611111112</v>
      </c>
    </row>
    <row r="37" spans="1:6" x14ac:dyDescent="0.25">
      <c r="A37" t="s">
        <v>667</v>
      </c>
      <c r="B37" t="s">
        <v>537</v>
      </c>
      <c r="D37" t="s">
        <v>668</v>
      </c>
      <c r="E37" t="s">
        <v>539</v>
      </c>
      <c r="F37" s="119">
        <v>44830.669178240743</v>
      </c>
    </row>
    <row r="38" spans="1:6" x14ac:dyDescent="0.25">
      <c r="A38" t="s">
        <v>669</v>
      </c>
      <c r="B38" t="s">
        <v>537</v>
      </c>
      <c r="D38" t="s">
        <v>668</v>
      </c>
      <c r="E38" t="s">
        <v>539</v>
      </c>
      <c r="F38" s="119">
        <v>44830.669212962966</v>
      </c>
    </row>
    <row r="39" spans="1:6" x14ac:dyDescent="0.25">
      <c r="A39" t="s">
        <v>671</v>
      </c>
      <c r="B39" t="s">
        <v>537</v>
      </c>
      <c r="D39" t="s">
        <v>670</v>
      </c>
      <c r="E39" t="s">
        <v>539</v>
      </c>
      <c r="F39" s="119">
        <v>44830.669351851851</v>
      </c>
    </row>
    <row r="40" spans="1:6" x14ac:dyDescent="0.25">
      <c r="A40" t="s">
        <v>671</v>
      </c>
      <c r="B40" t="s">
        <v>537</v>
      </c>
      <c r="D40" t="s">
        <v>670</v>
      </c>
      <c r="E40" t="s">
        <v>539</v>
      </c>
      <c r="F40" s="119">
        <v>44830.669456018521</v>
      </c>
    </row>
    <row r="41" spans="1:6" x14ac:dyDescent="0.25">
      <c r="A41" t="s">
        <v>570</v>
      </c>
      <c r="B41" t="s">
        <v>537</v>
      </c>
      <c r="E41" t="s">
        <v>539</v>
      </c>
      <c r="F41" s="119">
        <v>44830.669525462959</v>
      </c>
    </row>
    <row r="42" spans="1:6" x14ac:dyDescent="0.25">
      <c r="A42" t="s">
        <v>671</v>
      </c>
      <c r="B42" t="s">
        <v>537</v>
      </c>
      <c r="E42" t="s">
        <v>539</v>
      </c>
      <c r="F42" s="119">
        <v>44830.669537037036</v>
      </c>
    </row>
    <row r="43" spans="1:6" x14ac:dyDescent="0.25">
      <c r="A43" t="s">
        <v>672</v>
      </c>
      <c r="B43" t="s">
        <v>537</v>
      </c>
      <c r="E43" t="s">
        <v>539</v>
      </c>
      <c r="F43" s="119">
        <v>44830.669560185182</v>
      </c>
    </row>
    <row r="44" spans="1:6" x14ac:dyDescent="0.25">
      <c r="A44" t="s">
        <v>544</v>
      </c>
      <c r="B44" t="s">
        <v>537</v>
      </c>
      <c r="D44" t="s">
        <v>545</v>
      </c>
      <c r="E44" t="s">
        <v>539</v>
      </c>
      <c r="F44" s="119">
        <v>44830.669594907406</v>
      </c>
    </row>
    <row r="45" spans="1:6" x14ac:dyDescent="0.25">
      <c r="A45" t="s">
        <v>676</v>
      </c>
      <c r="B45" t="s">
        <v>537</v>
      </c>
      <c r="D45" t="s">
        <v>675</v>
      </c>
      <c r="E45" t="s">
        <v>539</v>
      </c>
      <c r="F45" s="119">
        <v>44830.669791666667</v>
      </c>
    </row>
    <row r="46" spans="1:6" x14ac:dyDescent="0.25">
      <c r="A46" t="s">
        <v>677</v>
      </c>
      <c r="B46" t="s">
        <v>537</v>
      </c>
      <c r="D46" t="s">
        <v>678</v>
      </c>
      <c r="E46" t="s">
        <v>539</v>
      </c>
      <c r="F46" s="119">
        <v>44830.66988425926</v>
      </c>
    </row>
    <row r="47" spans="1:6" x14ac:dyDescent="0.25">
      <c r="A47" t="s">
        <v>676</v>
      </c>
      <c r="B47" t="s">
        <v>537</v>
      </c>
      <c r="D47" t="s">
        <v>675</v>
      </c>
      <c r="E47" t="s">
        <v>539</v>
      </c>
      <c r="F47" s="119">
        <v>44830.669953703706</v>
      </c>
    </row>
    <row r="48" spans="1:6" x14ac:dyDescent="0.25">
      <c r="A48" t="s">
        <v>679</v>
      </c>
      <c r="B48" t="s">
        <v>537</v>
      </c>
      <c r="E48" t="s">
        <v>539</v>
      </c>
      <c r="F48" s="119">
        <v>44830.669988425929</v>
      </c>
    </row>
    <row r="49" spans="1:6" x14ac:dyDescent="0.25">
      <c r="A49" t="s">
        <v>676</v>
      </c>
      <c r="B49" t="s">
        <v>537</v>
      </c>
      <c r="D49" t="s">
        <v>680</v>
      </c>
      <c r="E49" t="s">
        <v>539</v>
      </c>
      <c r="F49" s="119">
        <v>44830.670092592591</v>
      </c>
    </row>
    <row r="50" spans="1:6" x14ac:dyDescent="0.25">
      <c r="A50" t="s">
        <v>681</v>
      </c>
      <c r="B50" t="s">
        <v>537</v>
      </c>
      <c r="D50" t="s">
        <v>569</v>
      </c>
      <c r="E50" t="s">
        <v>539</v>
      </c>
      <c r="F50" s="119">
        <v>44830.670219907406</v>
      </c>
    </row>
    <row r="51" spans="1:6" x14ac:dyDescent="0.25">
      <c r="A51" t="s">
        <v>681</v>
      </c>
      <c r="B51" t="s">
        <v>537</v>
      </c>
      <c r="D51" t="s">
        <v>569</v>
      </c>
      <c r="E51" t="s">
        <v>539</v>
      </c>
      <c r="F51" s="119">
        <v>44830.670219907406</v>
      </c>
    </row>
    <row r="52" spans="1:6" x14ac:dyDescent="0.25">
      <c r="A52" t="s">
        <v>682</v>
      </c>
      <c r="B52" t="s">
        <v>537</v>
      </c>
      <c r="D52" t="s">
        <v>569</v>
      </c>
      <c r="E52" t="s">
        <v>539</v>
      </c>
      <c r="F52" s="119">
        <v>44830.670289351852</v>
      </c>
    </row>
    <row r="53" spans="1:6" x14ac:dyDescent="0.25">
      <c r="A53" t="s">
        <v>683</v>
      </c>
      <c r="B53" t="s">
        <v>537</v>
      </c>
      <c r="E53" t="s">
        <v>539</v>
      </c>
      <c r="F53" s="119">
        <v>44830.670567129629</v>
      </c>
    </row>
    <row r="54" spans="1:6" x14ac:dyDescent="0.25">
      <c r="A54" t="s">
        <v>684</v>
      </c>
      <c r="B54" t="s">
        <v>537</v>
      </c>
      <c r="E54" t="s">
        <v>539</v>
      </c>
      <c r="F54" s="119">
        <v>44830.670590277776</v>
      </c>
    </row>
    <row r="55" spans="1:6" x14ac:dyDescent="0.25">
      <c r="A55" t="s">
        <v>685</v>
      </c>
      <c r="B55" t="s">
        <v>537</v>
      </c>
      <c r="E55" t="s">
        <v>539</v>
      </c>
      <c r="F55" s="119">
        <v>44830.670613425929</v>
      </c>
    </row>
    <row r="56" spans="1:6" x14ac:dyDescent="0.25">
      <c r="A56" t="s">
        <v>683</v>
      </c>
      <c r="B56" t="s">
        <v>537</v>
      </c>
      <c r="E56" t="s">
        <v>539</v>
      </c>
      <c r="F56" s="119">
        <v>44830.670624999999</v>
      </c>
    </row>
    <row r="57" spans="1:6" x14ac:dyDescent="0.25">
      <c r="A57" t="s">
        <v>681</v>
      </c>
      <c r="B57" t="s">
        <v>537</v>
      </c>
      <c r="E57" t="s">
        <v>539</v>
      </c>
      <c r="F57" s="119">
        <v>44830.670671296299</v>
      </c>
    </row>
    <row r="58" spans="1:6" x14ac:dyDescent="0.25">
      <c r="A58" t="s">
        <v>686</v>
      </c>
      <c r="B58" t="s">
        <v>537</v>
      </c>
      <c r="E58" t="s">
        <v>539</v>
      </c>
      <c r="F58" s="119">
        <v>44830.670706018522</v>
      </c>
    </row>
    <row r="59" spans="1:6" x14ac:dyDescent="0.25">
      <c r="A59" t="s">
        <v>687</v>
      </c>
      <c r="B59" t="s">
        <v>537</v>
      </c>
      <c r="E59" t="s">
        <v>539</v>
      </c>
      <c r="F59" s="119">
        <v>44830.670717592591</v>
      </c>
    </row>
    <row r="60" spans="1:6" x14ac:dyDescent="0.25">
      <c r="A60" t="s">
        <v>688</v>
      </c>
      <c r="B60" t="s">
        <v>537</v>
      </c>
      <c r="E60" t="s">
        <v>539</v>
      </c>
      <c r="F60" s="119">
        <v>44830.670740740738</v>
      </c>
    </row>
    <row r="61" spans="1:6" x14ac:dyDescent="0.25">
      <c r="A61" t="s">
        <v>676</v>
      </c>
      <c r="B61" t="s">
        <v>537</v>
      </c>
      <c r="E61" t="s">
        <v>539</v>
      </c>
      <c r="F61" s="119">
        <v>44830.670775462961</v>
      </c>
    </row>
    <row r="62" spans="1:6" x14ac:dyDescent="0.25">
      <c r="A62" t="s">
        <v>689</v>
      </c>
      <c r="B62" t="s">
        <v>537</v>
      </c>
      <c r="E62" t="s">
        <v>539</v>
      </c>
      <c r="F62" s="119">
        <v>44830.670798611114</v>
      </c>
    </row>
    <row r="63" spans="1:6" x14ac:dyDescent="0.25">
      <c r="A63" t="s">
        <v>677</v>
      </c>
      <c r="B63" t="s">
        <v>537</v>
      </c>
      <c r="E63" t="s">
        <v>539</v>
      </c>
      <c r="F63" s="119">
        <v>44830.67082175926</v>
      </c>
    </row>
    <row r="64" spans="1:6" x14ac:dyDescent="0.25">
      <c r="A64" t="s">
        <v>690</v>
      </c>
      <c r="B64" t="s">
        <v>537</v>
      </c>
      <c r="E64" t="s">
        <v>539</v>
      </c>
      <c r="F64" s="119">
        <v>44830.670937499999</v>
      </c>
    </row>
    <row r="65" spans="1:6" x14ac:dyDescent="0.25">
      <c r="A65" t="s">
        <v>568</v>
      </c>
      <c r="B65" t="s">
        <v>537</v>
      </c>
      <c r="D65" t="s">
        <v>569</v>
      </c>
      <c r="E65" t="s">
        <v>539</v>
      </c>
      <c r="F65" s="119">
        <v>44830.670972222222</v>
      </c>
    </row>
    <row r="66" spans="1:6" x14ac:dyDescent="0.25">
      <c r="A66" t="s">
        <v>691</v>
      </c>
      <c r="B66" t="s">
        <v>537</v>
      </c>
      <c r="E66" t="s">
        <v>539</v>
      </c>
      <c r="F66" s="119">
        <v>44830.671678240738</v>
      </c>
    </row>
    <row r="67" spans="1:6" x14ac:dyDescent="0.25">
      <c r="A67" t="s">
        <v>689</v>
      </c>
      <c r="B67" t="s">
        <v>537</v>
      </c>
      <c r="D67" t="s">
        <v>693</v>
      </c>
      <c r="E67" t="s">
        <v>539</v>
      </c>
      <c r="F67" s="119">
        <v>44830.6718287037</v>
      </c>
    </row>
    <row r="68" spans="1:6" x14ac:dyDescent="0.25">
      <c r="A68" t="s">
        <v>695</v>
      </c>
      <c r="B68" t="s">
        <v>537</v>
      </c>
      <c r="D68" t="s">
        <v>696</v>
      </c>
      <c r="E68" t="s">
        <v>539</v>
      </c>
      <c r="F68" s="119">
        <v>44830.672037037039</v>
      </c>
    </row>
    <row r="69" spans="1:6" x14ac:dyDescent="0.25">
      <c r="A69" t="s">
        <v>697</v>
      </c>
      <c r="B69" t="s">
        <v>537</v>
      </c>
      <c r="E69" t="s">
        <v>539</v>
      </c>
      <c r="F69" s="119">
        <v>44830.672106481485</v>
      </c>
    </row>
    <row r="70" spans="1:6" x14ac:dyDescent="0.25">
      <c r="A70" t="s">
        <v>699</v>
      </c>
      <c r="B70" t="s">
        <v>537</v>
      </c>
      <c r="D70" t="s">
        <v>700</v>
      </c>
      <c r="E70" t="s">
        <v>539</v>
      </c>
      <c r="F70" s="119">
        <v>44830.672152777777</v>
      </c>
    </row>
    <row r="71" spans="1:6" x14ac:dyDescent="0.25">
      <c r="A71" t="s">
        <v>702</v>
      </c>
      <c r="B71" t="s">
        <v>537</v>
      </c>
      <c r="D71" t="s">
        <v>703</v>
      </c>
      <c r="E71" t="s">
        <v>539</v>
      </c>
      <c r="F71" s="119">
        <v>44830.672407407408</v>
      </c>
    </row>
    <row r="72" spans="1:6" x14ac:dyDescent="0.25">
      <c r="A72" t="s">
        <v>705</v>
      </c>
      <c r="B72" t="s">
        <v>537</v>
      </c>
      <c r="D72" t="s">
        <v>706</v>
      </c>
      <c r="E72" t="s">
        <v>539</v>
      </c>
      <c r="F72" s="119">
        <v>44830.672465277778</v>
      </c>
    </row>
    <row r="73" spans="1:6" x14ac:dyDescent="0.25">
      <c r="A73" t="s">
        <v>707</v>
      </c>
      <c r="B73" t="s">
        <v>537</v>
      </c>
      <c r="D73" t="b">
        <v>0</v>
      </c>
      <c r="E73" t="s">
        <v>539</v>
      </c>
      <c r="F73" s="119">
        <v>44830.673032407409</v>
      </c>
    </row>
    <row r="74" spans="1:6" x14ac:dyDescent="0.25">
      <c r="A74" t="s">
        <v>708</v>
      </c>
      <c r="B74" t="s">
        <v>537</v>
      </c>
      <c r="D74" t="b">
        <v>0</v>
      </c>
      <c r="E74" t="s">
        <v>539</v>
      </c>
      <c r="F74" s="119">
        <v>44830.673379629632</v>
      </c>
    </row>
    <row r="75" spans="1:6" x14ac:dyDescent="0.25">
      <c r="A75" t="s">
        <v>709</v>
      </c>
      <c r="B75" t="s">
        <v>537</v>
      </c>
      <c r="D75" t="b">
        <v>0</v>
      </c>
      <c r="E75" t="s">
        <v>539</v>
      </c>
      <c r="F75" s="119">
        <v>44830.673750000002</v>
      </c>
    </row>
    <row r="76" spans="1:6" x14ac:dyDescent="0.25">
      <c r="A76" t="s">
        <v>708</v>
      </c>
      <c r="B76" t="s">
        <v>537</v>
      </c>
      <c r="D76" t="b">
        <v>0</v>
      </c>
      <c r="E76" t="s">
        <v>539</v>
      </c>
      <c r="F76" s="119">
        <v>44853.805462962962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2" t="s">
        <v>54</v>
      </c>
      <c r="M1" s="3" t="s">
        <v>55</v>
      </c>
      <c r="N1" s="3" t="s">
        <v>56</v>
      </c>
    </row>
    <row r="2" spans="1:14" x14ac:dyDescent="0.25">
      <c r="A2" s="1" t="s">
        <v>15</v>
      </c>
      <c r="B2" s="1" t="s">
        <v>16</v>
      </c>
      <c r="C2" s="1" t="s">
        <v>17</v>
      </c>
      <c r="D2" s="2" t="s">
        <v>7</v>
      </c>
      <c r="E2" s="2" t="s">
        <v>112</v>
      </c>
      <c r="F2" s="4" t="s">
        <v>63</v>
      </c>
      <c r="I2" s="3" t="s">
        <v>43</v>
      </c>
      <c r="J2" s="3" t="s">
        <v>88</v>
      </c>
      <c r="K2" s="3" t="s">
        <v>98</v>
      </c>
      <c r="L2" s="8"/>
      <c r="M2" s="10" t="s">
        <v>75</v>
      </c>
      <c r="N2" s="3" t="s">
        <v>74</v>
      </c>
    </row>
    <row r="3" spans="1:14" x14ac:dyDescent="0.25">
      <c r="A3" s="1" t="s">
        <v>18</v>
      </c>
      <c r="B3" s="1" t="s">
        <v>19</v>
      </c>
      <c r="C3" s="1" t="s">
        <v>20</v>
      </c>
      <c r="D3" s="2" t="s">
        <v>8</v>
      </c>
      <c r="E3" s="2" t="s">
        <v>111</v>
      </c>
      <c r="F3" s="2" t="s">
        <v>65</v>
      </c>
      <c r="I3" s="3" t="s">
        <v>44</v>
      </c>
      <c r="J3" s="3" t="s">
        <v>87</v>
      </c>
      <c r="K3" s="3" t="s">
        <v>99</v>
      </c>
      <c r="L3" s="8" t="s">
        <v>69</v>
      </c>
      <c r="M3" s="41" t="s">
        <v>102</v>
      </c>
      <c r="N3" s="3" t="s">
        <v>82</v>
      </c>
    </row>
    <row r="4" spans="1:14" x14ac:dyDescent="0.25">
      <c r="A4" s="3" t="s">
        <v>21</v>
      </c>
      <c r="B4" s="3" t="s">
        <v>5</v>
      </c>
      <c r="D4" s="4"/>
      <c r="E4" s="4"/>
      <c r="F4" s="4"/>
      <c r="I4" s="3" t="s">
        <v>45</v>
      </c>
      <c r="K4" s="3" t="s">
        <v>83</v>
      </c>
      <c r="L4" s="8" t="s">
        <v>71</v>
      </c>
      <c r="M4" s="14" t="s">
        <v>95</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4" t="s">
        <v>94</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101</v>
      </c>
    </row>
    <row r="10" spans="1:14" x14ac:dyDescent="0.25">
      <c r="A10" s="2" t="s">
        <v>39</v>
      </c>
      <c r="B10" s="4"/>
      <c r="C10" s="4"/>
      <c r="D10" s="4"/>
      <c r="E10" s="4"/>
      <c r="F10" s="4"/>
      <c r="L10" s="13"/>
      <c r="M10" s="10" t="s">
        <v>81</v>
      </c>
      <c r="N10" s="3" t="s">
        <v>96</v>
      </c>
    </row>
    <row r="11" spans="1:14" x14ac:dyDescent="0.25">
      <c r="A11" s="2" t="s">
        <v>4</v>
      </c>
      <c r="B11" s="4"/>
      <c r="C11" s="4"/>
      <c r="D11" s="4"/>
      <c r="E11" s="4"/>
      <c r="F11" s="4"/>
      <c r="M11" s="10" t="s">
        <v>78</v>
      </c>
      <c r="N11" s="3" t="s">
        <v>97</v>
      </c>
    </row>
    <row r="12" spans="1:14" x14ac:dyDescent="0.25">
      <c r="A12" s="3" t="s">
        <v>108</v>
      </c>
      <c r="D12" s="4"/>
      <c r="E12" s="4"/>
      <c r="F12" s="4"/>
      <c r="N12" s="3" t="s">
        <v>100</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110</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109</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95403CC-1B98-467D-955B-76DAC9848785}">
  <ds:schemaRefs>
    <ds:schemaRef ds:uri="http://schemas.microsoft.com/sharepoint/v3/contenttype/forms"/>
  </ds:schemaRefs>
</ds:datastoreItem>
</file>

<file path=customXml/itemProps2.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2022-10-20T01:19:52Z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